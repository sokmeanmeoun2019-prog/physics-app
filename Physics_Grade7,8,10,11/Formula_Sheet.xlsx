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uilding App\Solving work problem\physics-solver\"/>
    </mc:Choice>
  </mc:AlternateContent>
  <xr:revisionPtr revIDLastSave="0" documentId="8_{21DAA392-BCE8-4D72-88BE-85454DEECE41}" xr6:coauthVersionLast="47" xr6:coauthVersionMax="47" xr10:uidLastSave="{00000000-0000-0000-0000-000000000000}"/>
  <bookViews>
    <workbookView xWindow="-108" yWindow="-108" windowWidth="23256" windowHeight="12456" tabRatio="500" activeTab="8" xr2:uid="{00000000-000D-0000-FFFF-FFFF00000000}"/>
  </bookViews>
  <sheets>
    <sheet name="Read Me" sheetId="1" r:id="rId1"/>
    <sheet name="All Topics" sheetId="2" r:id="rId2"/>
    <sheet name="G7" sheetId="3" r:id="rId3"/>
    <sheet name="G8" sheetId="4" r:id="rId4"/>
    <sheet name="G9" sheetId="5" r:id="rId5"/>
    <sheet name="G10" sheetId="6" r:id="rId6"/>
    <sheet name="G11" sheetId="7" r:id="rId7"/>
    <sheet name="G12" sheetId="8" r:id="rId8"/>
    <sheet name="Formula Index" sheetId="9" r:id="rId9"/>
    <sheet name="Constants" sheetId="10" r:id="rId10"/>
    <sheet name="Coverage Summary" sheetId="11" r:id="rId11"/>
  </sheets>
  <definedNames>
    <definedName name="_xlnm._FilterDatabase" localSheetId="1" hidden="1">'All Topics'!$A$1:$U$278</definedName>
    <definedName name="_xlnm._FilterDatabase" localSheetId="8" hidden="1">'Formula Index'!$A$1:$G$709</definedName>
    <definedName name="_xlnm._FilterDatabase" localSheetId="5" hidden="1">'G10'!$A$1:$U$50</definedName>
    <definedName name="_xlnm._FilterDatabase" localSheetId="6" hidden="1">'G11'!$A$1:$U$32</definedName>
    <definedName name="_xlnm._FilterDatabase" localSheetId="7" hidden="1">'G12'!$A$1:$U$52</definedName>
    <definedName name="_xlnm._FilterDatabase" localSheetId="2" hidden="1">'G7'!$A$1:$U$47</definedName>
    <definedName name="_xlnm._FilterDatabase" localSheetId="3" hidden="1">'G8'!$A$1:$U$50</definedName>
    <definedName name="_xlnm._FilterDatabase" localSheetId="4" hidden="1">'G9'!$A$1:$U$52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2" i="11" l="1"/>
  <c r="F42" i="11"/>
  <c r="E42" i="11"/>
  <c r="D42" i="11"/>
  <c r="C42" i="11"/>
  <c r="I32" i="11"/>
  <c r="H32" i="11"/>
  <c r="G32" i="11"/>
  <c r="F32" i="11"/>
  <c r="E32" i="11"/>
</calcChain>
</file>

<file path=xl/sharedStrings.xml><?xml version="1.0" encoding="utf-8"?>
<sst xmlns="http://schemas.openxmlformats.org/spreadsheetml/2006/main" count="10734" uniqueCount="2948">
  <si>
    <t>Physics Curriculum — Grades 7 to 12</t>
  </si>
  <si>
    <t>Content specification for an automated problem-solving application</t>
  </si>
  <si>
    <t>Source</t>
  </si>
  <si>
    <t>Course Syllabus 2026-27, Physics Grades 7-12 (six documents, Semesters I and II)</t>
  </si>
  <si>
    <t>Academic year</t>
  </si>
  <si>
    <t>2026-27</t>
  </si>
  <si>
    <t>Topic ID scheme</t>
  </si>
  <si>
    <t>PH{grade}.{chapter}.{lesson}.{topic} - stable primary key; do not renumber</t>
  </si>
  <si>
    <t>Total topics</t>
  </si>
  <si>
    <t>Total formulas</t>
  </si>
  <si>
    <t>Total learning outcomes</t>
  </si>
  <si>
    <t>Total problem types</t>
  </si>
  <si>
    <t>Total misconceptions</t>
  </si>
  <si>
    <t>Difficulty T1</t>
  </si>
  <si>
    <t>Recall / one-step: direct substitution into a single formula, all quantities in SI units.</t>
  </si>
  <si>
    <t>Difficulty T2</t>
  </si>
  <si>
    <t>Two-step / rearrangement: unit conversion, formula rearrangement, or chaining two relations.</t>
  </si>
  <si>
    <t>Difficulty T3</t>
  </si>
  <si>
    <t>Multi-concept / reasoning: several topics combined, graph interpretation, sign reasoning, design-to-constraint, or inverse problems.</t>
  </si>
  <si>
    <t>Sheets in this workbook</t>
  </si>
  <si>
    <t xml:space="preserve">  All Topics</t>
  </si>
  <si>
    <t>Every topic G7–G12, one row each. Filterable and sortable. The master list.</t>
  </si>
  <si>
    <t xml:space="preserve">  G7 … G12</t>
  </si>
  <si>
    <t>The same rows split by grade, in teaching order.</t>
  </si>
  <si>
    <t xml:space="preserve">  Formula Index</t>
  </si>
  <si>
    <t>Every formula on its own row, with its topic ID — the reference table for a solver.</t>
  </si>
  <si>
    <t xml:space="preserve">  Constants</t>
  </si>
  <si>
    <t>Physical constants to configure in the application.</t>
  </si>
  <si>
    <t xml:space="preserve">  Coverage Summary</t>
  </si>
  <si>
    <t>Topic and formula counts by grade, chapter, semester.</t>
  </si>
  <si>
    <t>Note on g</t>
  </si>
  <si>
    <t>Some textbook sections use 9.8 m s⁻², others 10 m s⁻². Pick one globally or expose it as a setting — otherwise answer-checking produces false negatives.</t>
  </si>
  <si>
    <t>Topic ID</t>
  </si>
  <si>
    <t>Grade</t>
  </si>
  <si>
    <t>Semester</t>
  </si>
  <si>
    <t>Quarter</t>
  </si>
  <si>
    <t>Chapter</t>
  </si>
  <si>
    <t>Lesson</t>
  </si>
  <si>
    <t>Topic</t>
  </si>
  <si>
    <t>Teaching Order</t>
  </si>
  <si>
    <t>Learning Outcomes</t>
  </si>
  <si>
    <t>Key Formulas</t>
  </si>
  <si>
    <t>Formula Count</t>
  </si>
  <si>
    <t>Problem Types</t>
  </si>
  <si>
    <t>Problem Type Count</t>
  </si>
  <si>
    <t>Difficulty Tiers</t>
  </si>
  <si>
    <t>Difficulty Detail</t>
  </si>
  <si>
    <t>Common Misconceptions</t>
  </si>
  <si>
    <t>Misconception Count</t>
  </si>
  <si>
    <t>Real-World / Engineering Link</t>
  </si>
  <si>
    <t>Reference Values</t>
  </si>
  <si>
    <t>Revisits Earlier</t>
  </si>
  <si>
    <t>Revisited Later In</t>
  </si>
  <si>
    <t>PH7.1.1.1</t>
  </si>
  <si>
    <t>Semester I</t>
  </si>
  <si>
    <t>Quarter 1</t>
  </si>
  <si>
    <t>Ch1: Heat</t>
  </si>
  <si>
    <t>L1: Thermometers</t>
  </si>
  <si>
    <t>Liquid-in-glass thermometers</t>
  </si>
  <si>
    <t>• Describe the construction of a liquid-in-glass thermometer (bulb, capillary bore, stem, thermometric liquid).
• Explain why mercury and coloured alcohol are chosen as thermometric liquids, and compare their ranges and sensitivity.
• Identify how bore diameter, bulb size, and wall thickness affect sensitivity, range, and response time.</t>
  </si>
  <si>
    <t>—</t>
  </si>
  <si>
    <t>• Given a modification (thinner bore, larger bulb), predict the effect on sensitivity/range.
• Match thermometric liquid to a stated application and range.
• Label a diagram of a thermometer.</t>
  </si>
  <si>
    <t>T1, T2, T3</t>
  </si>
  <si>
    <t>T1 labelling · T2 predict-the-effect · T3 design-a-thermometer for a stated purpose</t>
  </si>
  <si>
    <t>• "Mercury rises because heat pushes it up" — it rises because the liquid expands more than the glass.
• Larger bulb → higher maximum temperature (it actually increases *sensitivity*, not range).</t>
  </si>
  <si>
    <t>PH7.1.1.2</t>
  </si>
  <si>
    <t>Scales of temperature (fixed points)</t>
  </si>
  <si>
    <t>• State the lower fixed point (ice point, 0 °C) and upper fixed point (steam point, 100 °C) and the conditions under which each is defined (standard atmospheric pressure).
• Calibrate a thermometer given the lengths of the mercury thread at the two fixed points.</t>
  </si>
  <si>
    <t>θ = [(l_θ − l₀) / (l₁₀₀ − l₀)] × 100 °C   [θ = temperature (°C); l_θ = thread length at unknown temperature (cm or mm); l₀ = length at ice point; l₁₀₀ = length at steam point]</t>
  </si>
  <si>
    <t>• Given l₀, l₁₀₀, l_θ → find θ.
• Given θ and two of the three lengths → find the missing length.
• Explain why steam (not boiling water) defines the upper fixed point.</t>
  </si>
  <si>
    <t>T1 direct substitution · T2 rearrange for l_θ · T3 calibration with a non-standard pressure discussion</t>
  </si>
  <si>
    <t>• Using the *total* thread length instead of the length *above the ice-point mark*.
• Believing water always boils at exactly 100 °C regardless of pressure.</t>
  </si>
  <si>
    <t>PH7.1.1.3</t>
  </si>
  <si>
    <t>Clinical thermometer</t>
  </si>
  <si>
    <t>• State the range of a clinical thermometer (typically 35 °C to 42 °C) and explain why it is narrow.
• Explain the function of the constriction in the bore and why the thermometer must be shaken before reuse.
• Read a clinical thermometer scale correctly and interpret a reading against normal body temperature (37 °C).</t>
  </si>
  <si>
    <t>• Read a scale diagram → state the temperature and whether the patient has a fever.
• Explain the purpose of a named feature (constriction, short range, fine bore).</t>
  </si>
  <si>
    <t>T1, T2</t>
  </si>
  <si>
    <t>T1 reading · T2 feature-function explanation</t>
  </si>
  <si>
    <t>• The constriction "stops the mercury from getting too hot" — it prevents the thread from falling back so the reading is held.</t>
  </si>
  <si>
    <t>PH7.1.1.4</t>
  </si>
  <si>
    <t>Thermocouple thermometer</t>
  </si>
  <si>
    <t>• Describe a thermocouple as two different metals joined at two junctions producing an e.m.f. proportional to temperature difference.
• State advantages: very wide range, fast response, small thermal capacity, can measure at a distance and at a point.</t>
  </si>
  <si>
    <t>• Select the correct thermometer for a stated scenario (furnace, rapidly changing temperature, tiny object).
• Compare thermocouple vs liquid-in-glass on a named criterion.</t>
  </si>
  <si>
    <t>T1 recall · T2 justified selection</t>
  </si>
  <si>
    <t>PH7.1.1.5</t>
  </si>
  <si>
    <t>Other thermometers</t>
  </si>
  <si>
    <t>• Describe the operating principle of resistance thermometers, bimetallic strip thermometers, gas thermometers, and infrared/digital thermometers.
• Match each to a suitable application.</t>
  </si>
  <si>
    <t>T1</t>
  </si>
  <si>
    <t>T1–T2</t>
  </si>
  <si>
    <t>PH7.1.1.6</t>
  </si>
  <si>
    <t>Temperature scale conversion</t>
  </si>
  <si>
    <t>• Convert between Celsius, Kelvin, and Fahrenheit scales.
• State that absolute zero is 0 K = −273.15 °C (use −273 °C for calculation) and that a change of 1 K equals a change of 1 °C.</t>
  </si>
  <si>
    <t>T(K) = θ(°C) + 273   [T = absolute temperature (K); θ = Celsius temperature (°C)]
θ(°C) = T(K) − 273   []
θ(°F) = (9/5)·θ(°C) + 32   [θ(°F) = Fahrenheit temperature]
θ(°C) = (5/9)·[θ(°F) − 32]   []
ΔT(K) = Δθ(°C)   [temperature *differences* are numerically equal in K and °C]</t>
  </si>
  <si>
    <t>• Single conversion, any direction, any pair of scales.
• Two-step conversion (°F → °C → K).
• Find the temperature at which two scales read the same number (°C = °F at −40).
• Given a temperature *change*, express it in K.</t>
  </si>
  <si>
    <t>T1 single conversion · T2 chained conversion · T3 equal-reading problem, change-vs-value distinction</t>
  </si>
  <si>
    <t>• Adding 273 to a temperature *difference* (a 20 °C rise is a 20 K rise, not 293 K).
• Applying the ×9/5 factor to a Fahrenheit *difference* without care.</t>
  </si>
  <si>
    <t>PH10.2.1.2</t>
  </si>
  <si>
    <t>PH7.1.1.7</t>
  </si>
  <si>
    <t>Heat and temperature</t>
  </si>
  <si>
    <t>• Distinguish heat (energy in transit due to a temperature difference, measured in joules) from temperature (degree of hotness, a measure of average kinetic energy of particles, measured in °C or K).
• Explain that heat flows spontaneously from higher to lower temperature.
• Explain why a large cold object can contain more internal energy than a small hot object.</t>
  </si>
  <si>
    <t>• Classify statements as describing heat or temperature.
• Compare two bodies at different temperatures/masses and reason about energy content and direction of heat flow.</t>
  </si>
  <si>
    <t>T1, T3</t>
  </si>
  <si>
    <t>T1 classification · T3 comparative reasoning</t>
  </si>
  <si>
    <t>• "Hotter means more heat" — temperature and total thermal energy are different quantities.
• Heat is a substance contained in a body ("caloric" thinking) rather than energy in transit.</t>
  </si>
  <si>
    <t>PH10.2.1.1</t>
  </si>
  <si>
    <t>PH7.1.2.1</t>
  </si>
  <si>
    <t>L2: Quantity of Heat</t>
  </si>
  <si>
    <t>The heat equation (specific heat capacity)</t>
  </si>
  <si>
    <t>• Define specific heat capacity as the energy required to raise the temperature of 1 kg of a substance by 1 K.
• Calculate heat energy gained or lost using Q = mcΔθ.
• Rearrange the heat equation to find any single unknown.</t>
  </si>
  <si>
    <t>Q = m·c·Δθ   [Q = heat energy (J); m = mass (kg); c = specific heat capacity (J kg⁻¹ K⁻¹); Δθ = temperature change (K or °C)]
c = Q / (m·Δθ)   []
Δθ = Q / (m·c)   []
θ_final = θ_initial ± Δθ   [sign set by heating (+) or cooling (−)]</t>
  </si>
  <si>
    <t>• Find Q given m, c, Δθ.
• Find c given Q, m, Δθ (experimental determination).
• Find Δθ or final temperature given Q, m, c.
• Find m given Q, c, Δθ.
• Method of mixtures: hot body + cold body reaching a common final temperature (heat lost = heat gained).
• Electrical heating: energy supplied by a heater over time raises the temperature of a known mass.</t>
  </si>
  <si>
    <t>T1 direct Q = mcΔθ · T2 rearrangement, unit conversion (g → kg) · T3 method of mixtures, heater + calorimeter combined</t>
  </si>
  <si>
    <t>• Using mass in grams without converting to kilograms.
• Using the final temperature instead of the temperature *change*.
• Assuming ΔT and T are interchangeable.</t>
  </si>
  <si>
    <t>c_water = 4200 J kg⁻¹ K⁻¹ · c_aluminium ≈ 900 · c_copper ≈ 380 · c_iron ≈ 450</t>
  </si>
  <si>
    <t>PH9.3.1.4, PH10.2.2.1</t>
  </si>
  <si>
    <t>PH7.1.2.2</t>
  </si>
  <si>
    <t>Thermal capacity (heat capacity)</t>
  </si>
  <si>
    <t>• Define thermal capacity as the energy required to raise the temperature of a whole body by 1 K.
• Distinguish thermal capacity (a property of an object) from specific heat capacity (a property of a material).</t>
  </si>
  <si>
    <t>C = m·c   [C = thermal capacity (J K⁻¹); m = mass (kg); c = specific heat capacity (J kg⁻¹ K⁻¹)]
Q = C·Δθ   []</t>
  </si>
  <si>
    <t>• Compute C from m and c, or from Q and Δθ.
• Compare thermal capacities of two objects of different masses or materials.
• Explain why a calorimeter's thermal capacity must be accounted for.</t>
  </si>
  <si>
    <t>T1 · T2 · T3 (calorimeter correction)</t>
  </si>
  <si>
    <t>• Confusing the units: J K⁻¹ for thermal capacity vs J kg⁻¹ K⁻¹ for specific heat capacity.</t>
  </si>
  <si>
    <t>PH7.1.2.3</t>
  </si>
  <si>
    <t>Importance of the high specific heat capacity of water</t>
  </si>
  <si>
    <t>• Explain, using c_water = 4200 J kg⁻¹ K⁻¹, why water is used as a coolant in engines and as a heat store in radiators.
• Explain why coastal areas have smaller day–night and seasonal temperature swings than inland areas.
• Explain the role of water's high specific heat capacity in regulating body and climate temperature.</t>
  </si>
  <si>
    <t>• Compare temperature rise of equal masses of water and another substance given the same heat input.
• Explain a real-world observation using c values (land/sea breeze, car radiator).</t>
  </si>
  <si>
    <t>T2, T3</t>
  </si>
  <si>
    <t>T2 comparative calculation · T3 explanation of a real phenomenon</t>
  </si>
  <si>
    <t>engine cooling systems, district heating, thermal mass in building design, solar water heaters.</t>
  </si>
  <si>
    <t>PH7.1.3.1</t>
  </si>
  <si>
    <t>L3: Expansion of Solids, Liquids and Gases</t>
  </si>
  <si>
    <t>Expansion of solids</t>
  </si>
  <si>
    <t>• Explain thermal expansion using the particle model (increased vibration amplitude → increased mean separation).
• Describe linear, area, and volume expansion qualitatively.
• Describe the bimetallic strip and explain its bending direction from the expansivities of the two metals.
• Give examples of useful expansion (thermostat, riveting, shrink-fitting) and problems caused by expansion (railway lines, bridges, pipes) with their engineering solutions (expansion gaps, rollers, loops).</t>
  </si>
  <si>
    <t>ΔL = α·L₀·Δθ   [ΔL = change in length (m); α = linear expansivity (K⁻¹); L₀ = original length (m); Δθ = temperature change (K)]
L = L₀(1 + α·Δθ)   [final length]</t>
  </si>
  <si>
    <t>• Calculate expansion of a bridge span / railway rail over a stated temperature range.
• Determine the required expansion gap.
• Predict the bending direction of a bimetallic strip on heating or cooling.</t>
  </si>
  <si>
    <t>T1 direct ΔL · T2 required-gap design problem · T3 bimetallic reasoning, expansion causing stress</t>
  </si>
  <si>
    <t>• "A hole in a heated metal plate gets smaller" — the hole expands in proportion with the plate.
• The particles themselves expand (they do not; their *separation* increases).</t>
  </si>
  <si>
    <t>PH7.1.3.2</t>
  </si>
  <si>
    <t>Expansion of liquids</t>
  </si>
  <si>
    <t>• Compare the expansion of liquids with that of solids (liquids expand more).
• Distinguish apparent from real expansion of a liquid in a container.
• Describe and explain the anomalous expansion of water between 0 °C and 4 °C, and its consequence for aquatic life and for burst pipes.</t>
  </si>
  <si>
    <t>• Explain why a filled container overflows on heating.
• Explain why ice floats and why ponds freeze from the top down.
• Predict what happens to water's volume when cooled from 10 °C to 0 °C.</t>
  </si>
  <si>
    <t>T1 recall · T3 anomalous-expansion reasoning</t>
  </si>
  <si>
    <t>• Water contracts continuously as it cools all the way to 0 °C (it expands below 4 °C).</t>
  </si>
  <si>
    <t>PH7.1.3.3</t>
  </si>
  <si>
    <t>Expansion of gases</t>
  </si>
  <si>
    <t>• State that gases expand far more than liquids or solids for the same temperature rise.
• Describe qualitatively the relationship between volume and temperature at constant pressure, and between pressure and temperature at constant volume.</t>
  </si>
  <si>
    <t>• Predict the behaviour of a gas in a sealed vs open container on heating.
• Explain a demonstration (balloon over a flask, drop-of-liquid index tube).</t>
  </si>
  <si>
    <t>T1–T2 (quantitative gas laws are deferred to Grade 12, PH12.1.3)</t>
  </si>
  <si>
    <t>PH7.1.4.1</t>
  </si>
  <si>
    <t>L4: Heat Transfer</t>
  </si>
  <si>
    <t>Introduction to heat transfer</t>
  </si>
  <si>
    <t>• Name the three mechanisms of heat transfer and state the medium each requires.
• Identify the dominant mechanism in a given situation.</t>
  </si>
  <si>
    <t>T1 classification</t>
  </si>
  <si>
    <t>PH7.1.4.2</t>
  </si>
  <si>
    <t>Conduction</t>
  </si>
  <si>
    <t>• Explain conduction using the particle model: lattice vibration transfer, plus free-electron transfer in metals.
• Explain why metals are far better conductors than non-metals.
• Classify materials as thermal conductors or insulators and justify everyday uses (saucepan base, wooden handle, air pockets in clothing).</t>
  </si>
  <si>
    <t>• Explain why a metal object feels colder than a wooden object at the same temperature.
• Rank materials by conductivity and justify.
• Explain the design of a named object in terms of conduction.</t>
  </si>
  <si>
    <t>T1 classify · T3 "feels colder" reasoning</t>
  </si>
  <si>
    <t>• Metal is "colder" than wood at the same room temperature — it conducts heat away from the hand faster.
• Insulators "block cold" rather than reduce the rate of heat transfer.</t>
  </si>
  <si>
    <t>PH8.2.2.1</t>
  </si>
  <si>
    <t>PH7.1.4.3</t>
  </si>
  <si>
    <t>Convection</t>
  </si>
  <si>
    <t>• Explain convection as bulk transfer of energy by a moving fluid, driven by density differences on heating.
• Trace a convection current in a room, a beaker, or the atmosphere.
• Explain land and sea breezes, and the placement of heaters (low) and freezer compartments/coolers (high).</t>
  </si>
  <si>
    <t>• Draw or select the correct convection current pattern for a given heat source position.
• Explain a design or weather phenomenon using convection.</t>
  </si>
  <si>
    <t>T1 pattern identification · T2 explanation · T3 land/sea breeze full reasoning</t>
  </si>
  <si>
    <t>• "Hot air rises because heat rises" — warmed fluid is less dense and is pushed up by surrounding denser fluid.
• Convection can occur in solids (it cannot — the particles cannot flow).</t>
  </si>
  <si>
    <t>PH8.2.2.2</t>
  </si>
  <si>
    <t>PH7.1.4.4</t>
  </si>
  <si>
    <t>Radiation</t>
  </si>
  <si>
    <t>• State that thermal radiation is infrared electromagnetic waves requiring no medium and travelling at the speed of light.
• Compare emission and absorption for dull black vs shiny silver, and rough vs smooth surfaces.
• Apply these ideas to the vacuum flask, solar panels, cooling fins, buildings in hot climates, and spacecraft.</t>
  </si>
  <si>
    <t>• Predict which surface heats/cools faster and justify.
• Explain each feature of a vacuum flask against the mechanism it blocks.
• Design an object for maximum or minimum heat loss.</t>
  </si>
  <si>
    <t>T1 good/bad emitter recall · T2 comparative prediction · T3 full vacuum-flask or design analysis</t>
  </si>
  <si>
    <t>thermos flasks, spacecraft thermal blankets, radiators, roof colour and urban heat, greenhouse effect.</t>
  </si>
  <si>
    <t>PH8.2.3.1</t>
  </si>
  <si>
    <t>PH7.2.1.1</t>
  </si>
  <si>
    <t>Quarter 2</t>
  </si>
  <si>
    <t>Ch2: Electricity</t>
  </si>
  <si>
    <t>L1: Static Electricity</t>
  </si>
  <si>
    <t>What are electric charges?</t>
  </si>
  <si>
    <t>• State that there are two kinds of charge, positive and negative, and that charge is measured in coulombs (C).
• Describe the atom in terms of protons, neutrons, and electrons, and explain charging as a transfer of *electrons* only.
• State that like charges repel and unlike charges attract.</t>
  </si>
  <si>
    <t>Q = n·e   [Q = charge (C); n = number of elementary charges; e = 1.6 × 10⁻¹⁹ C]</t>
  </si>
  <si>
    <t>• Determine the sign of charge after a stated electron transfer.
• Calculate charge from a number of electrons, or vice versa.
• Predict attraction/repulsion for a given pair of charged objects.</t>
  </si>
  <si>
    <t>T1 sign prediction · T2 Q = ne calculation with standard form · T3 multi-object interaction chain</t>
  </si>
  <si>
    <t>• Protons move during charging by friction (only electrons are transferred).
• A body becomes positive by "gaining positive charge" rather than losing electrons.</t>
  </si>
  <si>
    <t>PH10.3.1.1, PH11.5.1</t>
  </si>
  <si>
    <t>PH7.2.1.2</t>
  </si>
  <si>
    <t>Methods of charging a body</t>
  </si>
  <si>
    <t>• Describe charging by friction (rubbing), by contact/conduction, and by induction.
• State the resulting sign of charge for each method, and explain why induction produces the *opposite* sign to the inducing charge while contact produces the *same* sign.
• Describe the role of earthing during charging by induction.</t>
  </si>
  <si>
    <t>• Given a method and an inducing charge, state the final charge of the target body.
• Sequence the steps of charging by induction correctly.
• Explain why a charged rod attracts small uncharged pieces of paper (polarisation).</t>
  </si>
  <si>
    <t>T1 method identification · T2 final-sign determination · T3 full induction sequence with earthing step</t>
  </si>
  <si>
    <t>• Induction and conduction give the same result (they give opposite signs).
• Neutral objects cannot be attracted by a charged object (they can, by polarisation).</t>
  </si>
  <si>
    <t>PH10.3.1.2, PH10.3.1.3, PH10.3.1.4</t>
  </si>
  <si>
    <t>PH7.2.1.3</t>
  </si>
  <si>
    <t>Law of electrostatics</t>
  </si>
  <si>
    <t>• State the law: like charges repel, unlike charges attract, and a charged body attracts an uncharged body.
• Use repulsion as the only conclusive test for charge.</t>
  </si>
  <si>
    <t>• Given observations of attraction/repulsion between several objects, deduce the sign of each.</t>
  </si>
  <si>
    <t>T2 deduction · T3 multi-object logic puzzle</t>
  </si>
  <si>
    <t>• Attraction proves an object is charged (it does not — repulsion is the reliable test).</t>
  </si>
  <si>
    <t>PH7.2.1.4</t>
  </si>
  <si>
    <t>The electroscope and its uses</t>
  </si>
  <si>
    <t>• Describe the structure of a gold-leaf electroscope (cap, stem, gold leaf, insulating plug, earthed case).
• Explain leaf divergence in terms of like charges on the leaf and stem.
• Use an electroscope to detect the presence of charge, determine the sign of a charge, and compare conductors with insulators.</t>
  </si>
  <si>
    <t>• Predict leaf behaviour (rises/falls/unchanged) for a stated approach or contact.
• Deduce the sign of an unknown charge from leaf behaviour on a pre-charged electroscope.</t>
  </si>
  <si>
    <t>T1 predict divergence · T3 sign determination on a pre-charged instrument</t>
  </si>
  <si>
    <t>• Increased divergence always means the same sign of charge is approaching — decreasing divergence is the definitive test for opposite charge.</t>
  </si>
  <si>
    <t>PH7.2.1.5</t>
  </si>
  <si>
    <t>Dangers and uses of static electricity</t>
  </si>
  <si>
    <t>• Explain the hazard of static build-up in fuel transfer, aircraft refuelling, and flour/dust handling, and describe earthing as the remedy.
• Describe lightning as a large-scale electrostatic discharge.
• Describe useful applications: electrostatic precipitators, spray painting, photocopiers, inkjet printers.</t>
  </si>
  <si>
    <t>• Identify the hazard in a described scenario and propose a control measure.
• Explain how a named application uses electrostatic attraction.</t>
  </si>
  <si>
    <t>T2 hazard-and-control · T3 application explanation</t>
  </si>
  <si>
    <t>fuel-truck bonding straps, industrial dust explosion prevention, electrostatic paint spraying (uniform coverage, less waste).</t>
  </si>
  <si>
    <t>PH7.2.2.1</t>
  </si>
  <si>
    <t>L2: Electric Current</t>
  </si>
  <si>
    <t>Electric charge and current</t>
  </si>
  <si>
    <t>• State that current is the rate of flow of charge and is measured in amperes (A).
• Apply Q = I·t in any rearranged form.
• Define one ampere as one coulomb per second.</t>
  </si>
  <si>
    <t>I = Q / t   [I = current (A); Q = charge (C); t = time (s)]
Q = I·t   []
t = Q / I   []
Q = n·e   [links to number of electrons, e = 1.6 × 10⁻¹⁹ C]</t>
  </si>
  <si>
    <t>• Find Q from I and t (including minutes/hours → seconds conversion).
• Find I from Q and t.
• Find t for a given charge to flow.
• Find the number of electrons passing a point in a given time (combines Q = It with Q = ne).</t>
  </si>
  <si>
    <t>T1 direct substitution · T2 time-unit conversion, rearrangement · T3 two-equation chain to number of electrons</t>
  </si>
  <si>
    <t>• Forgetting to convert minutes or hours into seconds.
• Treating current as "used up" as it goes round a circuit.</t>
  </si>
  <si>
    <t>PH7.2.2.2</t>
  </si>
  <si>
    <t>Conventional current and electron flow</t>
  </si>
  <si>
    <t>• Distinguish conventional current (positive to negative, external circuit) from electron flow (negative to positive).
• Explain why the two are opposite and state that circuit analysis uses conventional current.</t>
  </si>
  <si>
    <t>• Given a circuit diagram, mark the direction of conventional current and of electron flow.
• Multiple-choice discrimination between the two directions.</t>
  </si>
  <si>
    <t>T1 direction identification</t>
  </si>
  <si>
    <t>• Electrons travel at the speed of light through the wire (drift velocity is very slow; the *field* propagates quickly).</t>
  </si>
  <si>
    <t>PH7.2.2.3</t>
  </si>
  <si>
    <t>Circuit diagrams</t>
  </si>
  <si>
    <t>• Recognise and draw standard circuit symbols: cell, battery, lamp, switch, resistor, variable resistor, ammeter, voltmeter, fuse, motor.
• Translate a described or pictorial circuit into a correct circuit diagram and vice versa.
• Place an ammeter in series and a voltmeter in parallel.</t>
  </si>
  <si>
    <t>• Identify a symbol.
• Draw the circuit diagram for a described arrangement.
• Spot the error in a given circuit diagram (e.g., ammeter in parallel).</t>
  </si>
  <si>
    <t>T1 symbol recall · T2 diagram construction · T3 fault identification</t>
  </si>
  <si>
    <t>• Connecting a voltmeter in series or an ammeter in parallel.</t>
  </si>
  <si>
    <t>PH7.2.2.4</t>
  </si>
  <si>
    <t>Series and parallel circuits</t>
  </si>
  <si>
    <t>• State that current is the same at every point in a series circuit.
• State that current divides at a junction in a parallel circuit and that the total equals the sum of the branch currents (Kirchhoff's current law, qualitatively).
• Predict the effect on the rest of the circuit when one component fails in series vs in parallel.</t>
  </si>
  <si>
    <t>Series: I₁ = I₂ = I₃ = I   [all currents in amperes (A)]
Parallel: I_total = I₁ + I₂ + I₃   []</t>
  </si>
  <si>
    <t>• Find a missing current in a series or parallel circuit.
• Predict lamp brightness changes when a switch opens or a lamp fails.
• Compare series and parallel wiring for a stated purpose (house lighting, decorative lights).</t>
  </si>
  <si>
    <t>T1 missing current in series · T2 junction sums · T3 combined series–parallel network reasoning</t>
  </si>
  <si>
    <t>• Current is "shared out and used up" by components in series — current is conserved.
• Current is smaller after a lamp than before it.</t>
  </si>
  <si>
    <t>PH7.2.3.1</t>
  </si>
  <si>
    <t>Semester II</t>
  </si>
  <si>
    <t>Quarter 3</t>
  </si>
  <si>
    <t>L3: Electric Potential Difference</t>
  </si>
  <si>
    <t>Energy transfer and potential difference</t>
  </si>
  <si>
    <t>• Define potential difference as the energy transferred per unit charge between two points.
• Define e.m.f. as the energy supplied per unit charge by a source.
• Distinguish e.m.f. (energy given to charges by the source) from p.d. (energy given up by charges to a component).</t>
  </si>
  <si>
    <t>V = W / Q   [V = potential difference (V); W = energy transferred (J); Q = charge (C)]
W = Q·V   []
W = V·I·t   [combining with Q = It]</t>
  </si>
  <si>
    <t>• Find V from W and Q.
• Find energy transferred by a component given V, I, and t.
• Find the charge that must flow to transfer a stated energy.</t>
  </si>
  <si>
    <t>T1 direct · T2 rearrangement · T3 chained with Q = It</t>
  </si>
  <si>
    <t>• Voltage "flows" through a circuit — voltage is *across* components, current flows *through* them.</t>
  </si>
  <si>
    <t>PH7.2.3.2</t>
  </si>
  <si>
    <t>The volt</t>
  </si>
  <si>
    <t>• Define the volt as one joule per coulomb (1 V = 1 J C⁻¹).
• Interpret a stated voltage in energy-per-charge terms.</t>
  </si>
  <si>
    <t>T1 definition · T2 interpretation</t>
  </si>
  <si>
    <t>PH7.2.3.3</t>
  </si>
  <si>
    <t>Cells and batteries</t>
  </si>
  <si>
    <t>• Distinguish a cell from a battery (a battery is two or more cells).
• Identify the terminals and state the e.m.f. of a common cell (1.5 V dry cell, 2 V lead-acid cell).</t>
  </si>
  <si>
    <t>PH7.2.3.4</t>
  </si>
  <si>
    <t>Measuring cell and battery voltage with a voltmeter</t>
  </si>
  <si>
    <t>• Connect a voltmeter correctly in parallel with the component or source.
• Read an analogue voltmeter scale accurately, accounting for the range setting.
• Explain why an ideal voltmeter has very high resistance.</t>
  </si>
  <si>
    <t>• Read a scale diagram at a given range setting.
• Identify a correct/incorrect voltmeter connection in a diagram.</t>
  </si>
  <si>
    <t>T1 reading · T2 scale-with-range conversion · T3 explain high-resistance requirement</t>
  </si>
  <si>
    <t>PH7.2.3.5</t>
  </si>
  <si>
    <t>Cells in series</t>
  </si>
  <si>
    <t>• Calculate the total e.m.f. of cells in series, including cells connected in opposition.
• State that cells in series increase total voltage but not current capacity.</t>
  </si>
  <si>
    <t>V_total = V₁ + V₂ + ... + Vₙ (aiding)   [volts (V)]
V_total = ΣV_forward − ΣV_reversed   [for cells in opposition]
n identical cells: V_total = n·V   []</t>
  </si>
  <si>
    <t>• Total e.m.f. of n identical cells.
• Total e.m.f. with one or more cells reversed.
• How many cells are needed to reach a stated voltage.</t>
  </si>
  <si>
    <t>T1 identical cells · T2 mixed voltages · T3 reversed cells</t>
  </si>
  <si>
    <t>• Reversing a cell "does nothing" — it subtracts its e.m.f.</t>
  </si>
  <si>
    <t>PH7.2.3.6</t>
  </si>
  <si>
    <t>Cells in parallel</t>
  </si>
  <si>
    <t>• State that identical cells in parallel give the same e.m.f. as one cell but can supply current for longer / deliver a larger total current.
• Explain why cells of different e.m.f. should not be connected in parallel.</t>
  </si>
  <si>
    <t>V_total = V (identical cells in parallel)   [volts (V)]
Lifetime multiplied by n for n identical cells   []</t>
  </si>
  <si>
    <t>• Compare series vs parallel cell arrangements for a stated requirement (higher voltage vs longer life).</t>
  </si>
  <si>
    <t>T1 · T2 comparison · T3 design choice with justification</t>
  </si>
  <si>
    <t>• Cells in parallel add their voltages (they do not).</t>
  </si>
  <si>
    <t>PH7.2.3.7</t>
  </si>
  <si>
    <t>Voltages round a circuit</t>
  </si>
  <si>
    <t>• State that in a series circuit the supply voltage equals the sum of the p.d.s across the components.
• State that components in parallel have the same p.d. across them.
• Apply these rules to find an unknown voltage in a mixed circuit.</t>
  </si>
  <si>
    <t>Series: V_supply = V₁ + V₂ + V₃   [volts (V)]
Parallel: V₁ = V₂ = V_supply   []</t>
  </si>
  <si>
    <t>• Find a missing p.d. in a series loop.
• Confirm equal p.d.s across parallel branches.
• Combined series–parallel voltage distribution.</t>
  </si>
  <si>
    <t>T1 series sum · T2 parallel identification · T3 mixed network</t>
  </si>
  <si>
    <t>• Voltage divides equally between components regardless of their resistance.</t>
  </si>
  <si>
    <t>PH7.2.4.1</t>
  </si>
  <si>
    <t>L4: Electric Resistance</t>
  </si>
  <si>
    <t>The ohm and the definition of resistance</t>
  </si>
  <si>
    <t>• Define resistance as the ratio of potential difference to current.
• Define the ohm as one volt per ampere.
• Distinguish *resistance* (a property, measured in ohms) from a *resistor* (a component).</t>
  </si>
  <si>
    <t>R = V / I   [R = resistance (Ω); V = potential difference (V); I = current (A)]</t>
  </si>
  <si>
    <t>• Find R from a stated V and I.
• Find V or I given the other and R.
• Compare the resistances of two components from their V and I values.
• Classify a statement as describing resistance (the property) or a resistor (the component).</t>
  </si>
  <si>
    <t>T1 definition · T2 calculation</t>
  </si>
  <si>
    <t>PH7.2.4.2</t>
  </si>
  <si>
    <t>Types of resistors</t>
  </si>
  <si>
    <t>• Describe fixed resistors, variable resistors (rheostat), thermistors, and light-dependent resistors (LDRs), and state how the resistance of each responds to its controlling variable.
• Read a resistor colour code (if used in class).
• State the factors affecting the resistance of a wire: length, cross-sectional area, material, temperature.</t>
  </si>
  <si>
    <t>R ∝ L (length) and R ∝ 1/A (cross-sectional area)   [qualitative proportionality]</t>
  </si>
  <si>
    <t>• Predict the resistance change when a wire's length is doubled or its diameter is doubled.
• Select a component for a stated sensing application (temperature, light).</t>
  </si>
  <si>
    <t>T2 proportional reasoning · T3 diameter → area (factor of 4) reasoning</t>
  </si>
  <si>
    <t>• Doubling the *diameter* halves the resistance (it quarters it, because area ∝ d²).</t>
  </si>
  <si>
    <t>PH7.2.4.3</t>
  </si>
  <si>
    <t>The I–V graph and Ohm's law</t>
  </si>
  <si>
    <t>• State Ohm's law: the current through a metallic conductor is directly proportional to the p.d. across it, provided temperature and other physical conditions remain constant.
• Draw and interpret I–V characteristics for an ohmic conductor (straight line through the origin), a filament lamp (curve flattening as temperature rises), and a diode (one-directional).
• Determine resistance from the gradient of an I–V graph.</t>
  </si>
  <si>
    <t>V = I·R   [V (V), I (A), R (Ω)]
I = V / R and R = V / I   []
Gradient of I–V graph = 1/R   [for an ohmic conductor]</t>
  </si>
  <si>
    <t>• Find V, I, or R by direct substitution.
• Determine R from the gradient of a supplied I–V graph.
• Identify a component from the shape of its I–V characteristic.
• Explain why a filament lamp is non-ohmic.</t>
  </si>
  <si>
    <t>T1 substitution · T2 gradient extraction · T3 non-ohmic explanation, graph interpretation</t>
  </si>
  <si>
    <t>• All components obey Ohm's law (only ohmic conductors at constant temperature do).
• Reading resistance directly off the gradient of an I–V graph without inverting it.</t>
  </si>
  <si>
    <t>PH8.2.4.4, PH10.3.2.7</t>
  </si>
  <si>
    <t>PH7.2.4.4</t>
  </si>
  <si>
    <t>Two resistors in series</t>
  </si>
  <si>
    <t>• Derive and apply R_total = R₁ + R₂ for series resistors.
• State that the total resistance in series is always greater than the largest individual resistance.
• Apply the potential-divider idea: p.d. divides in the ratio of resistances.</t>
  </si>
  <si>
    <t>R_s = R₁ + R₂ + ... + Rₙ   [ohms (Ω)]
V₁ / V₂ = R₁ / R₂   [potential divider ratio]
V₁ = V_supply × R₁/(R₁ + R₂)   [potential divider formula]</t>
  </si>
  <si>
    <t>• Find total resistance, then circuit current, then the p.d. across each resistor.
• Find an unknown resistance given the total.
• Potential-divider output voltage.</t>
  </si>
  <si>
    <t>T1 sum · T2 full series analysis (R → I → V) · T3 potential divider with a sensor</t>
  </si>
  <si>
    <t>PH8.2.4.2, PH10.3.2.7</t>
  </si>
  <si>
    <t>PH7.2.4.5</t>
  </si>
  <si>
    <t>Two resistors in parallel</t>
  </si>
  <si>
    <t>• Derive and apply 1/R_p = 1/R₁ + 1/R₂ for parallel resistors.
• State that the total resistance in parallel is always less than the smallest individual resistance.
• Calculate branch currents.</t>
  </si>
  <si>
    <t>1/R_p = 1/R₁ + 1/R₂ + ... + 1/Rₙ   [ohms (Ω)]
Two resistors: R_p = (R₁·R₂)/(R₁ + R₂)   [product-over-sum shortcut]
n identical resistors: R_p = R/n   []
I₁ = V/R₁, I₂ = V/R₂, I_total = I₁ + I₂   [branch currents]</t>
  </si>
  <si>
    <t>• Find R_p for two or three resistors.
• Find total current and each branch current.
• Find the resistance to place in parallel to achieve a target total resistance.
• Mixed series–parallel network reduction.</t>
  </si>
  <si>
    <t>T1 two identical resistors · T2 product-over-sum, branch currents · T3 network reduction, design-for-target-resistance</t>
  </si>
  <si>
    <t>• Forgetting to invert at the end: leaving the answer as 1/R_p.
• Adding parallel resistances directly.</t>
  </si>
  <si>
    <t>PH8.2.4.3, PH10.3.2.7</t>
  </si>
  <si>
    <t>PH7.3.1.1</t>
  </si>
  <si>
    <t>Quarter 4</t>
  </si>
  <si>
    <t>Ch3: Pressure</t>
  </si>
  <si>
    <t>L1: Pressure of Solids</t>
  </si>
  <si>
    <t>Mass and weight</t>
  </si>
  <si>
    <t>• Distinguish mass (amount of matter, kg, scalar, constant everywhere) from weight (gravitational force, N, vector, varies with g).
• Calculate weight using W = m·g with g = 9.8 N kg⁻¹ (or 10 N kg⁻¹ where the textbook uses it).</t>
  </si>
  <si>
    <t>W = m·g   [W = weight (N); m = mass (kg); g = gravitational field strength (N kg⁻¹)]
m = W / g   []</t>
  </si>
  <si>
    <t>• Convert between mass and weight on Earth.
• Compare weight on Earth vs Moon (g_Moon ≈ 1.6 N kg⁻¹) for the same mass.</t>
  </si>
  <si>
    <t>T1 direct · T2 different-planet comparison · T3 mass/weight conceptual discrimination</t>
  </si>
  <si>
    <t>• "Weight is measured in kilograms."
• Mass changes when you go to the Moon.</t>
  </si>
  <si>
    <t>PH7.3.1.2</t>
  </si>
  <si>
    <t>Definition of pressure</t>
  </si>
  <si>
    <t>• Define pressure as force per unit area acting normal to the surface.
• State the SI unit: the pascal (1 Pa = 1 N m⁻²).
• Calculate pressure, force, or area from p = F/A, with correct area conversions (cm² → m²).</t>
  </si>
  <si>
    <t>p = F / A   [p = pressure (Pa); F = normal force (N); A = area (m²)]
F = p·A   []
A = F / p   []
1 Pa = 1 N m⁻² · 1 kPa = 10³ Pa   [unit conversions; 1 cm² = 1 × 10⁻⁴ m²]</t>
  </si>
  <si>
    <t>• Find pressure exerted by a block resting on different faces.
• Find the force from a stated pressure over an area.
• Find the contact area needed to keep pressure below a limit.
• Compare the pressure of a person standing on one foot vs two feet, or in flat shoes vs stiletto heels.</t>
  </si>
  <si>
    <t>T1 direct substitution · T2 area unit conversion, weight-then-pressure two-step · T3 choose-the-face problems, design-for-limit</t>
  </si>
  <si>
    <t>• Using cm² directly as m².
• Using mass in kilograms directly as the force in newtons (must multiply by g).
• Believing a heavier object always exerts greater pressure regardless of area.</t>
  </si>
  <si>
    <t>PH8.2.1.1, PH10.1.4.2</t>
  </si>
  <si>
    <t>PH7.3.1.3</t>
  </si>
  <si>
    <t>Applications of pressure of solids</t>
  </si>
  <si>
    <t>• Explain designs that *increase* pressure by reducing area: knives, nails, needles, drawing pins, ice skates, animal teeth.
• Explain designs that *reduce* pressure by increasing area: tractor and tank tracks, wide tyres, snowshoes, foundations, backpack straps, camel feet.</t>
  </si>
  <si>
    <t>• Given a design, identify whether it increases or decreases pressure and explain how.
• Calculate the pressure change from a design modification.</t>
  </si>
  <si>
    <t>T1 classify · T2 quantify the design change · T3 propose a design to meet a constraint</t>
  </si>
  <si>
    <t>building foundations on soft ground, tracked vehicles, cutting tool design, medical needle gauge.</t>
  </si>
  <si>
    <t>PH7.3.2.1</t>
  </si>
  <si>
    <t>L2: Pressure of Liquids</t>
  </si>
  <si>
    <t>Liquid pressure</t>
  </si>
  <si>
    <t>• State that pressure in a liquid increases with depth, acts equally in all directions at a given depth, and does not depend on the shape or cross-section of the container.
• Calculate pressure due to a liquid column using p = ρ·g·h.
• Calculate total pressure at a depth including atmospheric pressure.</t>
  </si>
  <si>
    <t>p = ρ·g·h   [p = liquid (gauge) pressure (Pa); ρ = density (kg m⁻³); g = 9.8 N kg⁻¹; h = depth below surface (m)]
p_total = p_atmosphere + ρ·g·h   [absolute pressure]
h = p / (ρ·g) · ρ = p / (g·h)   [rearrangements]
ρ = m / V   [density definition; m (kg), V (m³)]</t>
  </si>
  <si>
    <t>• Find pressure at a stated depth in water, seawater, or mercury.
• Find the depth at which a stated pressure occurs.
• Find the force on a dam wall or submarine hatch of given area at a given depth.
• Compare pressures at the same depth in containers of different shapes.
• Explain why a dam is thicker at its base.</t>
  </si>
  <si>
    <t>T1 direct p = ρgh · T2 add atmospheric pressure, find force via F = pA · T3 dam design, container-shape reasoning, two-liquid columns</t>
  </si>
  <si>
    <t>• Pressure depends on the total *volume* or *weight* of liquid rather than only the depth and density.
• Pressure acts only downwards in a liquid.</t>
  </si>
  <si>
    <t>ρ_water = 1000 kg m⁻³ · ρ_mercury = 13 600 kg m⁻³ · ρ_seawater ≈ 1030 kg m⁻³</t>
  </si>
  <si>
    <t>PH8.2.1.2, PH8.2.1.4, PH10.1.4.2</t>
  </si>
  <si>
    <t>PH7.3.2.2</t>
  </si>
  <si>
    <t>Pascal's principle</t>
  </si>
  <si>
    <t>• State Pascal's principle: pressure applied to an enclosed fluid is transmitted undiminished throughout the fluid.
• Explain and calculate for a hydraulic press, jack, or braking system.
• Explain that a hydraulic system multiplies force but not energy (work in = work out).</t>
  </si>
  <si>
    <t>F₁/A₁ = F₂/A₂   [F = force (N); A = piston area (m²)]
F₂ = F₁ × (A₂/A₁)   [force multiplication]
A₁·d₁ = A₂·d₂   [volume conservation; d = piston displacement (m)]
F₁·d₁ = F₂·d₂   [work conservation (ideal system)]
Mechanical advantage = F₂/F₁ = A₂/A₁ = (r₂/r₁)²   [for circular pistons of radius r]</t>
  </si>
  <si>
    <t>• Find the output force of a hydraulic jack given piston areas and input force.
• Find the required input force to lift a stated load.
• Find the distance the output piston moves for a given input stroke.
• Find the piston diameter ratio needed for a target mechanical advantage.</t>
  </si>
  <si>
    <t>T1 area ratio given · T2 radius/diameter → area conversion · T3 combined force-and-distance analysis, multi-stroke jack</t>
  </si>
  <si>
    <t>• A hydraulic system creates energy (it trades distance for force).
• Using diameter ratio instead of area ratio (the ratio is squared).</t>
  </si>
  <si>
    <t>car brake systems, hydraulic excavators, car lifts, aircraft control surfaces.</t>
  </si>
  <si>
    <t>PH8.2.1.3, PH10.1.4.2</t>
  </si>
  <si>
    <t>PH7.3.3.1</t>
  </si>
  <si>
    <t>L3: Pressure of Gases</t>
  </si>
  <si>
    <t>Atmospheric (air) pressure</t>
  </si>
  <si>
    <t>• Explain the existence of atmospheric pressure in terms of the weight of the air column above.
• State the standard value: 1 atm ≈ 1.013 × 10⁵ Pa ≈ 101 kPa ≈ 760 mmHg.
• Explain why atmospheric pressure decreases with altitude.
• Describe demonstrations of atmospheric pressure (crushing can, Magdeburg hemispheres, drinking straw, suction cup).</t>
  </si>
  <si>
    <t>1 atm = 1.013 × 10⁵ Pa = 760 mmHg   []
p = ρ·g·h (for the mercury column)   []</t>
  </si>
  <si>
    <t>• Convert between Pa, kPa, atm, and mmHg.
• Explain a demonstration in terms of pressure difference.
• Calculate the force of the atmosphere on a stated area.</t>
  </si>
  <si>
    <t>T1 conversion · T2 F = pA on a window or hemisphere · T3 explanation of a demonstration</t>
  </si>
  <si>
    <t>• A suction cup or straw works by "suction pulling" — it is atmospheric pressure *pushing* into a reduced-pressure region.</t>
  </si>
  <si>
    <t>PH10.1.4.1</t>
  </si>
  <si>
    <t>PH7.3.3.2</t>
  </si>
  <si>
    <t>Measuring atmospheric pressure</t>
  </si>
  <si>
    <t>• Describe the mercury barometer and explain why the column stands at ~760 mm.
• Explain why water would require a column ~10.3 m high.
• Describe the aneroid barometer and the manometer (U-tube), and read a manometer to find gauge pressure.</t>
  </si>
  <si>
    <t>p_atm = ρ_Hg·g·h   [h = barometric height (m)]
Manometer: p_gas = p_atm ± ρ·g·h   [sign depends on which arm is higher]</t>
  </si>
  <si>
    <t>• Convert a barometric height to pascals.
• Find the equivalent column height for a different liquid.
• Read a U-tube manometer and find the gas pressure.</t>
  </si>
  <si>
    <t>T1 direct · T2 different-liquid column height · T3 manometer sign reasoning</t>
  </si>
  <si>
    <t>PH7.3.3.3</t>
  </si>
  <si>
    <t>Applications of atmospheric pressure</t>
  </si>
  <si>
    <t>• Explain the operation of the syringe, siphon, lift pump, force pump, drinking straw, vacuum cleaner, and suction cup in terms of pressure differences.
• Explain altitude effects: ear popping, aircraft cabin pressurisation, cooking at altitude, weather forecasting from barometric trends.</t>
  </si>
  <si>
    <t>• Explain the operation of a named device.
• Predict what happens to a sealed container carried up a mountain or taken underwater.</t>
  </si>
  <si>
    <t>T2 device explanation · T3 altitude/depth prediction with reasoning</t>
  </si>
  <si>
    <t>PH8.1.1.1</t>
  </si>
  <si>
    <t>Quarters 1–2</t>
  </si>
  <si>
    <t>Kinematics, Forces and Energy</t>
  </si>
  <si>
    <t>L1: Speed, Velocity and Acceleration</t>
  </si>
  <si>
    <t>Speed</t>
  </si>
  <si>
    <t>• Define speed as distance travelled per unit time; state the SI unit m s⁻¹.
• Distinguish average speed from instantaneous speed.
• Convert between m s⁻¹ and km h⁻¹.</t>
  </si>
  <si>
    <t>v = d / t   [v = speed (m s⁻¹); d = distance (m); t = time (s)]
d = v·t · t = d / v   []
average speed = total distance / total time   []
1 m s⁻¹ = 3.6 km h⁻¹   [conversion]</t>
  </si>
  <si>
    <t>• Find speed, distance, or time by direct substitution.
• Average speed over a multi-stage journey (different speeds on different segments).
• Unit conversion problems.
• Two-body problems: catch-up and meeting times.</t>
  </si>
  <si>
    <t>T1 direct · T2 unit conversion, two-stage journey · T3 average speed ≠ average of speeds; relative-motion catch-up</t>
  </si>
  <si>
    <t>• Average speed is the arithmetic mean of the individual speeds (it is total distance ÷ total time).
• Distance and displacement are the same thing.</t>
  </si>
  <si>
    <t>PH8.1.1.2</t>
  </si>
  <si>
    <t>Velocity</t>
  </si>
  <si>
    <t>• Define velocity as displacement per unit time and identify it as a vector requiring both magnitude and direction.
• Distinguish distance from displacement and speed from velocity, with a worked example (a round trip has zero displacement and zero average velocity).</t>
  </si>
  <si>
    <t>v = s / t   [v = velocity (m s⁻¹, with direction); s = displacement (m, with direction)]
Δv = v_final − v_initial   [attention to sign for direction]</t>
  </si>
  <si>
    <t>• Compute distance and displacement for a described path (out-and-back, L-shaped, circular).
• Compute average speed and average velocity for the same journey and compare.
• Sign conventions for motion in opposite directions.</t>
  </si>
  <si>
    <t>T1 definition · T2 path calculation · T3 round-trip and vector-path comparisons</t>
  </si>
  <si>
    <t>• Negative velocity means slowing down (it means moving in the negative direction).</t>
  </si>
  <si>
    <t>PH8.1.1.3</t>
  </si>
  <si>
    <t>Acceleration</t>
  </si>
  <si>
    <t>• Define acceleration as the rate of change of velocity; state the SI unit m s⁻².
• Calculate acceleration and deceleration, using the sign correctly.
• Recognise that acceleration occurs when speed changes, direction changes, or both.</t>
  </si>
  <si>
    <t>a = (v − u) / t   [a = acceleration (m s⁻²); v = final velocity (m s⁻¹); u = initial velocity (m s⁻¹); t = time (s)]
a = Δv / Δt   []
v = u + a·t   []</t>
  </si>
  <si>
    <t>• Find acceleration from initial and final velocity and time.
• Find final velocity after a stated acceleration.
• Find the time to reach a stated velocity.
• Deceleration (braking) problems producing a negative value.</t>
  </si>
  <si>
    <t>T1 direct · T2 rearrangement, unit conversion · T3 deceleration sign reasoning, changing-direction cases</t>
  </si>
  <si>
    <t>• Zero velocity means zero acceleration (at the top of a thrown ball's flight, v = 0 but a = g).
• Negative acceleration always means slowing down.</t>
  </si>
  <si>
    <t>PH10.1.1.2</t>
  </si>
  <si>
    <t>PH8.1.2.1</t>
  </si>
  <si>
    <t>L2: Graphs of Motion</t>
  </si>
  <si>
    <t>Distance–time graphs</t>
  </si>
  <si>
    <t>• Interpret the gradient of a distance–time graph as speed.
• Identify stationary (horizontal), constant-speed (straight sloped), and accelerating (curved) sections.
• Calculate speed from the gradient, including from a tangent for a curved graph.</t>
  </si>
  <si>
    <t>speed = gradient = Δd / Δt   [m s⁻¹]</t>
  </si>
  <si>
    <t>• Determine the speed for each segment of a multi-segment graph.
• Describe a journey in words from its graph.
• Sketch the graph for a described journey.
• Compare two objects' motion from their graphs on the same axes.</t>
  </si>
  <si>
    <t>T1 read a value · T2 gradient calculation · T3 sketch-from-description, curved-graph tangent</t>
  </si>
  <si>
    <t>• Reading a distance–time graph as if it were a picture of the path travelled.
• Steeper always means "further" rather than "faster".</t>
  </si>
  <si>
    <t>PH8.1.2.2, PH10.1.1.3</t>
  </si>
  <si>
    <t>PH8.1.2.2</t>
  </si>
  <si>
    <t>Velocity–time graphs</t>
  </si>
  <si>
    <t>• Interpret the gradient of a velocity–time graph as acceleration.
• Interpret the area under a velocity–time graph as displacement (distance travelled).
• Identify uniform acceleration, uniform velocity, and deceleration on a graph.</t>
  </si>
  <si>
    <t>acceleration = gradient = Δv / Δt   [m s⁻²]
displacement = area under graph   [m — decompose into triangles and rectangles]
Area of triangle = ½·base·height · Area of rectangle = base × height   []
Trapezium area = ½(u + v)·t   []</t>
  </si>
  <si>
    <t>• Find acceleration for each phase from the gradient.
• Find total distance from the area under the graph.
• Find average velocity over the whole motion.
• Sketch a velocity–time graph for a described motion.
• Compare a distance–time graph and a velocity–time graph of the same motion.</t>
  </si>
  <si>
    <t>T1 gradient of one segment · T2 area of a composite shape · T3 full multi-phase journey analysis, graph-type conversion</t>
  </si>
  <si>
    <t>• Confusing a velocity–time graph with a distance–time graph.
• A horizontal line on a v–t graph means the object is stationary (it means constant velocity).
• Forgetting that area below the time axis represents motion in the reverse direction.</t>
  </si>
  <si>
    <t>PH10.1.1.3</t>
  </si>
  <si>
    <t>PH8.1.2.3</t>
  </si>
  <si>
    <t>Equations for uniform acceleration</t>
  </si>
  <si>
    <t>• State and apply the four equations of uniformly accelerated motion.
• Select the correct equation based on which quantity is missing.
• Apply the equations with consistent sign conventions.</t>
  </si>
  <si>
    <t>v = u + a·t   [u, v = initial/final velocity (m s⁻¹); a (m s⁻²); t (s)]
s = u·t + ½·a·t²   [s = displacement (m)]
v² = u² + 2·a·s   []
s = ½(u + v)·t   []</t>
  </si>
  <si>
    <t>• Standard "given three, find a fourth" problems in all four equations.
• Braking-distance problems (find s given u, v = 0, a).
• Two-stage motion (accelerate then decelerate).
• Problems requiring the quadratic solution of s = ut + ½at².</t>
  </si>
  <si>
    <t>T1 single-equation substitution · T2 equation selection, rearrangement · T3 two-stage motion, quadratic in t</t>
  </si>
  <si>
    <t>• Using an equation without checking that acceleration is uniform.
• Sign errors for deceleration.
• Squaring incorrectly in v² = u² + 2as.</t>
  </si>
  <si>
    <t>PH10.1.1.4</t>
  </si>
  <si>
    <t>PH8.1.3.1</t>
  </si>
  <si>
    <t>L3: Free-Falling Bodies</t>
  </si>
  <si>
    <t>Acceleration of free fall</t>
  </si>
  <si>
    <t>• State that in the absence of air resistance all bodies fall with the same acceleration g ≈ 9.8 m s⁻² (10 m s⁻² where the textbook uses it).
• Explain why a feather and a stone fall at different rates in air but identically in a vacuum.
• Apply the equations of motion to vertical fall with a = g downwards.</t>
  </si>
  <si>
    <t>v = u + g·t   [taking downwards as positive]
h = u·t + ½·g·t²   [h = fall height (m)]
v² = u² + 2·g·h   []
Dropped from rest: v = g·t · h = ½·g·t² · v = √(2gh)   [u = 0]
Time to rise to maximum height: t = u/g   [thrown upwards, v = 0 at the top]
Maximum height: h_max = u²/(2g)   []</t>
  </si>
  <si>
    <t>• Find the fall time or impact speed for an object dropped from a stated height.
• Find the height of a cliff or building from the fall time.
• Vertical projection upwards: find maximum height, time of flight, and return speed.
• Compare two objects dropped from different heights or at different times.</t>
  </si>
  <si>
    <t>T1 dropped from rest · T2 thrown up or down with initial velocity · T3 objects released at different times, up-and-down full flight</t>
  </si>
  <si>
    <t>• Heavier objects fall faster (in vacuum they do not).
• At the top of the flight the acceleration is zero (velocity is zero; acceleration is still g).
• The object "loses" its acceleration on the way up.</t>
  </si>
  <si>
    <t>PH8.1.3.2</t>
  </si>
  <si>
    <t>Measuring g</t>
  </si>
  <si>
    <t>• Describe an experiment to measure g (ticker-tape timer, light gates, or simple pendulum) and identify the main sources of error.
• Determine g from the gradient of an appropriate graph (h against ½t², or v against t).</t>
  </si>
  <si>
    <t>• Given experimental data, plot the appropriate graph and find g from the gradient.
• Identify and explain sources of error and how to reduce them.</t>
  </si>
  <si>
    <t>T2 gradient → g · T3 experimental design and error analysis</t>
  </si>
  <si>
    <t>PH8.1.3.3</t>
  </si>
  <si>
    <t>Distance–time graph for free fall</t>
  </si>
  <si>
    <t>• Recognise the parabolic distance–time graph of free fall and the linear velocity–time graph with gradient g.
• Explain the shape of each graph.</t>
  </si>
  <si>
    <t>T2 graph identification · T3 explanation of shape</t>
  </si>
  <si>
    <t>PH8.1.3.4</t>
  </si>
  <si>
    <t>Projectiles</t>
  </si>
  <si>
    <t>• Explain that horizontal and vertical motions of a projectile are independent.
• State that horizontal velocity is constant (neglecting air resistance) and vertical motion is uniformly accelerated at g.
• Calculate time of flight, range, and impact velocity for a horizontally launched projectile.</t>
  </si>
  <si>
    <t>Horizontal: x = u_x·t   [x = range (m); u_x = horizontal velocity (m s⁻¹)]
Vertical: y = ½·g·t²   [y = fall height (m)]
Vertical velocity: v_y = g·t   []
Time of flight (horizontal launch): t = √(2y/g)   []
Resultant impact speed: v = √(u_x² + v_y²)   []
Impact angle below horizontal: tan θ = v_y / u_x   []</t>
  </si>
  <si>
    <t>• Ball rolled off a table: find time to land and horizontal range.
• Find the launch speed given the range and the drop height.
• Find the impact speed and angle.
• Compare a dropped object and a horizontally launched object released simultaneously (they land together).</t>
  </si>
  <si>
    <t>T1 given t, find x · T2 find t from the vertical drop, then x · T3 resultant velocity and angle, comparison problems</t>
  </si>
  <si>
    <t>• A horizontally launched projectile takes longer to fall than a dropped one.
• Horizontal velocity decreases during flight (it does not, neglecting air resistance).
• The two motions influence each other.</t>
  </si>
  <si>
    <t>ballistics, sports trajectories, water jets, package drops from aircraft.</t>
  </si>
  <si>
    <t>PH8.1.4.1</t>
  </si>
  <si>
    <t>L4: Weight and Stretching</t>
  </si>
  <si>
    <t>Force</t>
  </si>
  <si>
    <t>• Define force as a push or pull that can change an object's shape, speed, or direction.
• Identify contact forces (friction, normal reaction, tension, air resistance) and non-contact forces (gravitational, magnetic, electrostatic).
• Represent forces as vectors on a free-body diagram.</t>
  </si>
  <si>
    <t>T1 classify · T2 free-body diagram construction</t>
  </si>
  <si>
    <t>PH8.1.4.2</t>
  </si>
  <si>
    <t>Weight and the newton</t>
  </si>
  <si>
    <t>• Define weight as the force of gravity on a mass and calculate it with W = mg.
• Define the newton as the force giving a 1 kg mass an acceleration of 1 m s⁻².
• Distinguish mass and weight clearly (repeats and extends PH7.3.1.1).</t>
  </si>
  <si>
    <t>W = m·g   [W (N); m (kg); g = 9.8 m s⁻² or N kg⁻¹]
1 N = 1 kg m s⁻²   [definition]</t>
  </si>
  <si>
    <t>• Find the weight of a stated mass on Earth.
• Find the mass from a stated weight.
• Compare the weight of the same object on Earth, the Moon (g ≈ 1.6 N kg⁻¹), and other planets.
• Classify statements as describing mass or weight.</t>
  </si>
  <si>
    <t>T1 · T2 different-planet comparison</t>
  </si>
  <si>
    <t>PH8.1.4.3</t>
  </si>
  <si>
    <t>Hooke's law</t>
  </si>
  <si>
    <t>• State Hooke's law: extension is directly proportional to the applied force, provided the elastic limit is not exceeded.
• Determine the spring constant from the gradient of a force–extension graph.
• Identify the limit of proportionality and the elastic limit on a graph.
• Calculate the extension of a spring, and of springs in series and parallel (if taught).</t>
  </si>
  <si>
    <t>F = k·x   [F = applied force (N); k = spring constant (N m⁻¹); x = extension (m)]
k = F / x = gradient of the force–extension graph   []
x = F / k   []
x = L_final − L_original   [extension is the *change* in length]</t>
  </si>
  <si>
    <t>• Find k from a stated force and extension.
• Find the extension for a new force on the same spring.
• Read k from the gradient of a supplied graph.
• Identify the limit of proportionality from graph data.
• Find the new total length of a spring under load.</t>
  </si>
  <si>
    <t>T1 direct F = kx · T2 gradient extraction, extension vs total length · T3 elastic limit reasoning, spring combinations</t>
  </si>
  <si>
    <t>• Using the *total length* of the spring instead of the extension.
• Assuming Hooke's law holds beyond the elastic limit.</t>
  </si>
  <si>
    <t>vehicle suspension, spring balances, force sensors, structural elasticity.</t>
  </si>
  <si>
    <t>PH10.1.2.4, PH11.4.1</t>
  </si>
  <si>
    <t>PH8.1.5.1</t>
  </si>
  <si>
    <t>L5: Adding Forces</t>
  </si>
  <si>
    <t>Force and resultant</t>
  </si>
  <si>
    <t>• Define the resultant as the single force with the same effect as all the forces acting together.
• Add forces acting along the same line (adding for the same direction, subtracting for opposite directions).
• Distinguish scalar and vector quantities and classify common quantities correctly.</t>
  </si>
  <si>
    <t>Same direction: F_R = F₁ + F₂   [newtons (N)]
Opposite direction: F_R = F₁ − F₂ (in the direction of the larger)   []
Perpendicular: F_R = √(F₁² + F₂²), tan θ = F₂/F₁   [θ = angle from F₁]</t>
  </si>
  <si>
    <t>• Resultant of two or more collinear forces.
• Resultant of two perpendicular forces (magnitude and direction).
• Classify quantities as scalar or vector.
• Find the balancing force that produces equilibrium.</t>
  </si>
  <si>
    <t>T1 collinear · T2 perpendicular with Pythagoras · T3 equilibrium (third force) problems</t>
  </si>
  <si>
    <t>• Adding perpendicular forces arithmetically instead of vectorially.
• Treating force as a scalar.</t>
  </si>
  <si>
    <t>PH8.1.5.2</t>
  </si>
  <si>
    <t>The parallelogram law</t>
  </si>
  <si>
    <t>• Apply the parallelogram law to find the resultant of two forces acting at an angle.
• Construct an accurate scale drawing to determine a resultant.
• Use the cosine rule for a calculated (rather than scaled) result where taught.</t>
  </si>
  <si>
    <t>F_R = √(F₁² + F₂² + 2·F₁·F₂·cos θ)   [θ = angle between the two forces]
Scale drawing: choose a scale (e.g. 1 cm = 10 N), draw to scale, measure the diagonal   []</t>
  </si>
  <si>
    <t>• Find the resultant of two forces at a stated angle by calculation or scale drawing.
• Find the angle between two forces given the resultant.
• Tug-of-war and towing problems with two ropes at an angle.</t>
  </si>
  <si>
    <t>T2 scale drawing · T3 cosine-rule calculation, inverse problems</t>
  </si>
  <si>
    <t>PH8.1.6.1</t>
  </si>
  <si>
    <t>L6: Force and Acceleration (Newton's Laws)</t>
  </si>
  <si>
    <t>Newton's first law; mass and inertia</t>
  </si>
  <si>
    <t>• State Newton's first law: a body remains at rest or in uniform motion in a straight line unless acted on by a resultant external force.
• Define inertia and relate it to mass (greater mass → greater inertia).
• Explain everyday inertia phenomena: passengers thrown forward on braking, seat belts, shaking a wet cloth, tablecloth trick.</t>
  </si>
  <si>
    <t>• Explain a described phenomenon using the first law.
• Determine whether a body is in equilibrium from the forces acting on it.</t>
  </si>
  <si>
    <t>T1 statement · T2 explanation · T3 multi-force equilibrium reasoning</t>
  </si>
  <si>
    <t>• A moving object needs a continuous force to keep moving (it needs one only to *change* its motion).
• No motion means no forces are acting (forces may be balanced).</t>
  </si>
  <si>
    <t>PH10.1.2.3</t>
  </si>
  <si>
    <t>PH8.1.6.2</t>
  </si>
  <si>
    <t>Newton's second law</t>
  </si>
  <si>
    <t>• State Newton's second law: the resultant force equals mass times acceleration.
• Apply F = m·a to find any of the three quantities.
• Analyse systems with multiple forces by first finding the resultant force.</t>
  </si>
  <si>
    <t>F = m·a   [F = resultant force (N); m = mass (kg); a = acceleration (m s⁻²)]
a = F / m · m = F / a   []
F_resultant = F_applied − F_friction   [for horizontal motion with friction]
Connected bodies: a = F_total / m_total   []</t>
  </si>
  <si>
    <t>• Find acceleration from a resultant force and mass.
• Find the driving force needed for a stated acceleration against friction.
• Combined with kinematics: find final velocity or distance after applying a force for a stated time.
• Lift/elevator problems (apparent weight).
• Connected bodies (two trolleys, tow rope) and the tension between them.</t>
  </si>
  <si>
    <t>T1 direct F = ma · T2 resultant force with friction · T3 lift problems, connected bodies with tension, force-then-kinematics chains</t>
  </si>
  <si>
    <t>• Using the applied force instead of the *resultant* force.
• Believing acceleration is proportional to velocity.</t>
  </si>
  <si>
    <t>PH10.1.2.5</t>
  </si>
  <si>
    <t>PH8.1.6.3</t>
  </si>
  <si>
    <t>Newton's third law</t>
  </si>
  <si>
    <t>• State Newton's third law: for every action there is an equal and opposite reaction, acting on a *different* body.
• Identify action–reaction pairs correctly and explain why they never cancel.
• Explain rocket propulsion, walking, swimming, and gun recoil using the third law.</t>
  </si>
  <si>
    <t>• Identify the reaction partner for a stated force.
• Explain a propulsion example.
• Distinguish a third-law pair from a pair of balanced forces on the same body.</t>
  </si>
  <si>
    <t>T1 identify pairs · T3 pair-vs-balanced-forces discrimination</t>
  </si>
  <si>
    <t>• Action and reaction cancel out, so nothing can accelerate — they act on *different* bodies.
• The weight of a book and the normal force from a table are a third-law pair (they are not; they act on the same body).</t>
  </si>
  <si>
    <t>rocket and jet propulsion, recoil in firearms, propellers, swimming stroke mechanics.</t>
  </si>
  <si>
    <t>PH10.1.2.7</t>
  </si>
  <si>
    <t>PH8.1.7.1</t>
  </si>
  <si>
    <t>L7: Work, Energy and Power</t>
  </si>
  <si>
    <t>Forms of energy</t>
  </si>
  <si>
    <t>• Name and describe the main energy stores and transfers: kinetic, gravitational potential, elastic potential, chemical, thermal, electrical, nuclear, light, sound.
• Draw energy transfer diagrams (Sankey diagrams where taught) for common devices.</t>
  </si>
  <si>
    <t>T1 identify · T2 transfer-chain construction</t>
  </si>
  <si>
    <t>PH8.1.7.2</t>
  </si>
  <si>
    <t>Work</t>
  </si>
  <si>
    <t>• Define work done as force multiplied by distance moved in the direction of the force; state the SI unit joule (1 J = 1 N m).
• Recognise that no work is done when the displacement is zero or perpendicular to the force.
• Calculate work done against gravity and against friction.</t>
  </si>
  <si>
    <t>W = F·d   [W = work done (J); F = force (N); d = distance moved in the direction of the force (m)]
W = F·d·cos θ   [θ = angle between force and displacement (where taught)]
Work against gravity: W = m·g·h   [h = vertical height gained (m)]</t>
  </si>
  <si>
    <t>• Find work done by a stated force over a stated distance.
• Find work done lifting a mass through a height.
• Find work done against friction over a distance.
• Identify situations where no work is done (carrying a bag horizontally, pushing a wall).</t>
  </si>
  <si>
    <t>T1 direct W = Fd · T2 lifting and friction cases · T3 angled force, zero-work reasoning</t>
  </si>
  <si>
    <t>• Work is done whenever a force is exerted, even without displacement.
• Confusing work with power or with force.</t>
  </si>
  <si>
    <t>PH10.1.3.1</t>
  </si>
  <si>
    <t>PH8.1.7.3</t>
  </si>
  <si>
    <t>Power and energy</t>
  </si>
  <si>
    <t>• Define power as the rate of doing work or transferring energy; state the SI unit watt (1 W = 1 J s⁻¹).
• Calculate power from work and time, and from force and velocity.
• Calculate efficiency as a percentage.</t>
  </si>
  <si>
    <t>P = W / t   [P = power (W); W = work or energy (J); t = time (s)]
P = E / t   []
P = F·v   [for constant velocity; v = speed (m s⁻¹)]
Efficiency = (useful energy output / total energy input) × 100 %   [dimensionless percentage]
Efficiency = (useful power output / total power input) × 100 %   []</t>
  </si>
  <si>
    <t>• Find power output from work done and time taken.
• Find the time to do a stated amount of work at a stated power.
• Climbing stairs / lifting loads: find power output.
• Find efficiency and the energy wasted.
• Find the driving force from engine power and speed.</t>
  </si>
  <si>
    <t>T1 P = W/t · T2 lifting power, efficiency percentage · T3 P = Fv, wasted-energy and multi-stage efficiency</t>
  </si>
  <si>
    <t>• Power and energy are the same quantity.
• Efficiency can exceed 100 %.</t>
  </si>
  <si>
    <t>PH10.1.3.4</t>
  </si>
  <si>
    <t>PH8.1.7.4</t>
  </si>
  <si>
    <t>Conservation of energy</t>
  </si>
  <si>
    <t>• State the principle of conservation of energy: energy cannot be created or destroyed, only transferred or transformed.
• Apply the principle to closed systems, accounting for energy dissipated as heat and sound.</t>
  </si>
  <si>
    <t>• Trace energy through a multi-stage transfer and account for all of it.
• Explain why no machine can be 100 % efficient.</t>
  </si>
  <si>
    <t>T2 · T3</t>
  </si>
  <si>
    <t>PH8.1.8.1</t>
  </si>
  <si>
    <t>L8: Kinetic and Potential Energy</t>
  </si>
  <si>
    <t>Kinetic energy</t>
  </si>
  <si>
    <t>• Define kinetic energy and calculate it with E_k = ½mv².
• Recognise that kinetic energy is proportional to the *square* of the speed.
• Apply the work–energy relationship: work done = change in kinetic energy.</t>
  </si>
  <si>
    <t>E_k = ½·m·v²   [E_k = kinetic energy (J); m = mass (kg); v = speed (m s⁻¹)]
v = √(2·E_k / m)   []
m = 2·E_k / v²   []
W = ΔE_k = ½mv² − ½mu²   [work–energy theorem]</t>
  </si>
  <si>
    <t>• Find E_k for a stated mass and speed.
• Find speed from kinetic energy.
• Find the effect on E_k of doubling or tripling the speed (×4, ×9).
• Braking distance: work done by friction equals initial kinetic energy.</t>
  </si>
  <si>
    <t>T1 direct · T2 rearrangement, ratio reasoning · T3 braking-distance and work–energy chains</t>
  </si>
  <si>
    <t>• Doubling the speed doubles the kinetic energy (it quadruples it).
• Forgetting the ½ factor.</t>
  </si>
  <si>
    <t>PH10.1.3.2</t>
  </si>
  <si>
    <t>PH8.1.8.2</t>
  </si>
  <si>
    <t>Gravitational potential energy</t>
  </si>
  <si>
    <t>• Define gravitational potential energy and calculate it with E_p = mgh.
• State that only the *change* in height matters and that the reference level can be chosen freely.</t>
  </si>
  <si>
    <t>E_p = m·g·h   [E_p = gravitational potential energy (J); m (kg); g = 9.8 m s⁻² ; h = height above reference (m)]
ΔE_p = m·g·Δh   []
h = E_p / (m·g)   []</t>
  </si>
  <si>
    <t>• Find E_p for an object at a stated height.
• Find the height reached for a stated energy input.
• Find the energy needed to lift a load, and combine with power to find the time.</t>
  </si>
  <si>
    <t>T1 direct · T2 rearrangement · T3 combined with power and efficiency</t>
  </si>
  <si>
    <t>• Using the distance travelled along a slope instead of the vertical height.</t>
  </si>
  <si>
    <t>PH10.1.3.3</t>
  </si>
  <si>
    <t>PH8.1.8.3</t>
  </si>
  <si>
    <t>Conservation of mechanical energy</t>
  </si>
  <si>
    <t>• Apply E_p + E_k = constant for a system with no friction.
• Solve falling, sliding, swinging, and roller-coaster problems using energy conservation.
• Account for energy lost to friction where the system is not ideal.</t>
  </si>
  <si>
    <t>E_p(initial) + E_k(initial) = E_p(final) + E_k(final)   [joules (J)]
Falling from rest: m·g·h = ½·m·v² → v = √(2gh)   [note that mass cancels]
With friction: E_initial = E_final + E_lost   [E_lost = work done against friction (J)]</t>
  </si>
  <si>
    <t>• Find the speed of a falling or sliding object at a stated height.
• Find the height reached by an object launched upward at a stated speed.
• Pendulum: find the speed at the lowest point from the release height.
• Roller coaster: find the speed at any point on the track.
• Find the energy lost to friction on a real slope.</t>
  </si>
  <si>
    <t>T1 simple fall · T2 pendulum and slope · T3 energy loss to friction, multi-point track problems</t>
  </si>
  <si>
    <t>• Heavier objects reach the bottom of a frictionless slope faster (mass cancels).
• Energy is "used up" rather than transferred.</t>
  </si>
  <si>
    <t>roller coaster design, pumped-storage hydroelectricity, pile drivers, regenerative braking.</t>
  </si>
  <si>
    <t>PH8.2.1.1</t>
  </si>
  <si>
    <t>Quarters 3–4</t>
  </si>
  <si>
    <t>Pressure, Heat Transfer, Electricity and Waves</t>
  </si>
  <si>
    <t>L9: Pressure and Liquid Pressure</t>
  </si>
  <si>
    <t>Pressure (revisited and extended)</t>
  </si>
  <si>
    <t>• Apply p = F/A to more demanding contexts than Grade 7, including composite objects and unit-conversion-heavy problems.</t>
  </si>
  <si>
    <t>• Find the pressure exerted by a composite object resting on a stated face.
• Find the contact area needed to keep the pressure below a stated limit.
• Convert between Pa, kPa, and N cm⁻² correctly.
• Compare the pressures exerted by the same object on different faces.</t>
  </si>
  <si>
    <t>PH10.1.4.2</t>
  </si>
  <si>
    <t>PH8.2.1.2</t>
  </si>
  <si>
    <t>• Apply p = ρgh confidently including layered liquids and absolute-vs-gauge pressure.</t>
  </si>
  <si>
    <t>• Pressure at the bottom of a container with two immiscible liquid layers.
• Force on a submerged surface.</t>
  </si>
  <si>
    <t>PH8.2.1.4, PH10.1.4.2</t>
  </si>
  <si>
    <t>PH8.2.1.3</t>
  </si>
  <si>
    <t>Hydraulic machines</t>
  </si>
  <si>
    <t>• Analyse hydraulic presses, jacks, and brakes quantitatively using Pascal's principle.
• Calculate mechanical advantage and check work conservation.</t>
  </si>
  <si>
    <t>• Find the output force of a hydraulic press given the piston areas and input force.
• Find the input force required to lift a stated load.
• Find the output piston displacement for a stated input stroke.
• Find the mechanical advantage from the piston diameters and verify work conservation.</t>
  </si>
  <si>
    <t>PH8.2.1.4</t>
  </si>
  <si>
    <t>Expression for liquid pressure (derivation)</t>
  </si>
  <si>
    <t>• Derive p = ρgh from the weight of a liquid column: p = W/A = (m·g)/A = (ρ·V·g)/A = (ρ·A·h·g)/A = ρgh.
• Explain why the derivation shows the result is independent of container cross-section.</t>
  </si>
  <si>
    <t>T3</t>
  </si>
  <si>
    <t>T3 derivation</t>
  </si>
  <si>
    <t>PH7.3.2.1, PH8.2.1.2</t>
  </si>
  <si>
    <t>PH8.2.1.5</t>
  </si>
  <si>
    <t>Pressure gauges</t>
  </si>
  <si>
    <t>• Describe the U-tube manometer and the Bourdon gauge.
• Read a manometer and calculate gauge and absolute pressure.</t>
  </si>
  <si>
    <t>p_gauge = ρ·g·h   [h = height difference between the two arms (m)]
p_absolute = p_atmospheric + p_gauge   [pascals (Pa)]</t>
  </si>
  <si>
    <t>• Read a U-tube manometer and find the gauge pressure from the height difference.
• Find the absolute pressure of a gas from a manometer reading and the atmospheric pressure.
• Find the height difference produced by a stated gas pressure.
• Convert a manometer reading in mmHg to pascals.</t>
  </si>
  <si>
    <t>L10: Conduction and Convection</t>
  </si>
  <si>
    <t>Conduction and the kinetic theory</t>
  </si>
  <si>
    <t>• Explain conduction in terms of particle vibration and, in metals, free-electron transfer.
• Explain the temperature dependence of conduction rate.
• Compare thermal conductivities and explain the use of conductors and insulators.</t>
  </si>
  <si>
    <t>T1 · T2 · T3 (as PH7.1.4.2, at greater depth)</t>
  </si>
  <si>
    <t>Convection in liquids and gases</t>
  </si>
  <si>
    <t>• Explain natural convection currents from density changes in liquids and gases, covering convection in liquids and convection in air.
• Trace convection currents in domestic hot-water systems, refrigerators, and room heating.
• Explain the difference between natural and forced convection.</t>
  </si>
  <si>
    <t>PH8.2.2.3</t>
  </si>
  <si>
    <t>Energy losses from buildings and ventilation</t>
  </si>
  <si>
    <t>• Identify the main routes of heat loss from a building (roof, walls, windows, floor, draughts) and rank them.
• Explain how cavity wall insulation, loft insulation, double glazing, and draught proofing reduce each type of loss.
• Explain the role of ventilation and calculate simple payback times where data is given.</t>
  </si>
  <si>
    <t>• Given percentage losses, calculate the energy or cost saving from a stated insulation measure.
• Match each insulation method to the transfer mechanism it reduces.</t>
  </si>
  <si>
    <t>T2 percentage saving · T3 cost/payback analysis</t>
  </si>
  <si>
    <t>building energy ratings, passive house design, HVAC.</t>
  </si>
  <si>
    <t>L11: Radiation</t>
  </si>
  <si>
    <t>Thermal radiation, absorbers and emitters</t>
  </si>
  <si>
    <t>• State that all objects emit infrared radiation, with rate increasing with temperature and surface area.
• Compare good and bad absorbers and emitters (dull black = good; shiny silver = poor) and state that a good absorber is also a good emitter.</t>
  </si>
  <si>
    <t>• Predict which of several objects heats or cools fastest.
• Design an experiment (Leslie's cube) to compare emitters.</t>
  </si>
  <si>
    <t>T1 · T2 · T3</t>
  </si>
  <si>
    <t>PH8.2.3.2</t>
  </si>
  <si>
    <t>The vacuum flask</t>
  </si>
  <si>
    <t>• Explain each feature of a vacuum flask against the transfer mechanism it reduces: vacuum (conduction and convection), silvered surfaces (radiation), insulating stopper and support (conduction).</t>
  </si>
  <si>
    <t>T2 feature-mechanism matching · T3 full explanation</t>
  </si>
  <si>
    <t>PH8.2.3.3</t>
  </si>
  <si>
    <t>The greenhouse effect and rate of cooling</t>
  </si>
  <si>
    <t>• Explain the greenhouse effect: short-wavelength radiation enters and is absorbed; re-emitted long-wavelength infrared is trapped.
• Describe the factors affecting the rate of cooling of an object (temperature difference, surface area, surface nature, presence of a draught).
• Sketch and interpret a cooling curve.</t>
  </si>
  <si>
    <t>• Interpret a cooling curve and explain why the rate decreases with time.
• Predict the effect of changing one variable on cooling rate.</t>
  </si>
  <si>
    <t>climate change, greenhouses, solar collectors, radiator design, engine cooling fins.</t>
  </si>
  <si>
    <t>PH8.2.4.1</t>
  </si>
  <si>
    <t>L12: DC Circuits</t>
  </si>
  <si>
    <t>Building and representing circuits</t>
  </si>
  <si>
    <t>• Construct a circuit from a diagram and draw a diagram from a physical circuit.
• Use correct standard symbols and correct meter placement.</t>
  </si>
  <si>
    <t>T1 · T2</t>
  </si>
  <si>
    <t>PH8.2.4.2</t>
  </si>
  <si>
    <t>Series circuits</t>
  </si>
  <si>
    <t>• Apply the series rules: current is the same throughout, voltages add, resistances add.
• Analyse a complete series circuit: find total resistance, current, and the p.d. across each component.</t>
  </si>
  <si>
    <t>I_total = I₁ = I₂ = I₃   [A]
V_total = V₁ + V₂ + V₃   [V]
R_total = R₁ + R₂ + R₃   [Ω]</t>
  </si>
  <si>
    <t>• Find the total resistance of a series chain, then the circuit current.
• Find the p.d. across each component from the current and its resistance.
• Find an unknown resistance given the supply voltage and the circuit current.
• Predict the effect on current and brightness when one component is added or removed.</t>
  </si>
  <si>
    <t>PH10.3.2.7</t>
  </si>
  <si>
    <t>PH8.2.4.3</t>
  </si>
  <si>
    <t>Parallel circuits</t>
  </si>
  <si>
    <t>• Apply the parallel rules: voltage is the same across all branches, currents add, reciprocal resistances add.
• Analyse a complete parallel circuit: find total resistance, total current, and each branch current.</t>
  </si>
  <si>
    <t>V_total = V₁ = V₂ = V₃   [V]
I_total = I₁ + I₂ + I₃   [A]
1/R_total = 1/R₁ + 1/R₂ + 1/R₃   [Ω]</t>
  </si>
  <si>
    <t>• Find the total resistance of two or three parallel branches.
• Find the total current and the current in each branch.
• Find an unknown branch resistance given the total current.
• Compare the total resistance of the same components in series and in parallel.</t>
  </si>
  <si>
    <t>PH8.2.4.4</t>
  </si>
  <si>
    <t>Resistors in series and in parallel; Ohm's law applied</t>
  </si>
  <si>
    <t>• Reduce a mixed series–parallel network to a single equivalent resistance step by step.
• Find every current and voltage in the network.</t>
  </si>
  <si>
    <t>• Two in parallel, in series with a third — find total R, total I, and all branch currents and voltages.
• Find an unknown resistor value given the total resistance or a stated current.
• Identify which arrangement gives a larger or smaller total resistance.</t>
  </si>
  <si>
    <t>T2 two-element combinations · T3 three-or-more-element network reduction with full analysis</t>
  </si>
  <si>
    <t>• Adding parallel resistances directly.
• Assuming the same current in every branch of a parallel network.</t>
  </si>
  <si>
    <t>PH8.2.5.1</t>
  </si>
  <si>
    <t>L13: Electricity in the Home</t>
  </si>
  <si>
    <t>Power in electric circuits</t>
  </si>
  <si>
    <t>• Calculate electrical power using P = VI and its derived forms.
• Calculate the electrical energy transferred over a stated time.</t>
  </si>
  <si>
    <t>P = V·I   [P = power (W); V (V); I (A)]
P = I²·R   [using V = IR]
P = V²/R   []
E = P·t = V·I·t   [E = energy (J); t = time (s)]
E (kWh) = P (kW) × t (h)   [commercial energy unit]</t>
  </si>
  <si>
    <t>• Find power from voltage and current, or from current and resistance.
• Find the current drawn by a stated appliance and select an appropriate fuse.
• Find the energy used by an appliance over a stated period.</t>
  </si>
  <si>
    <t>T1 P = VI · T2 derived forms, fuse selection · T3 multi-appliance household analysis</t>
  </si>
  <si>
    <t>PH8.2.5.2</t>
  </si>
  <si>
    <t>Electric lighting and electric heating</t>
  </si>
  <si>
    <t>• Compare filament, fluorescent, and LED lamps on efficiency, lifetime, and operating principle.
• Explain the design of heating elements (high resistivity, high melting point) and the use of P = I²R.</t>
  </si>
  <si>
    <t>T2 comparison · T3 design reasoning</t>
  </si>
  <si>
    <t>PH8.2.5.3</t>
  </si>
  <si>
    <t>The joule meter and house circuits</t>
  </si>
  <si>
    <t>• Describe the ring main, lighting circuit, live/neutral/earth wires, and their colour codes.
• Explain the function and correct placement of fuses, circuit breakers, switches, and the earth wire.
• Explain double insulation and why some appliances need no earth.</t>
  </si>
  <si>
    <t>T1 recall · T2 fault reasoning · T3 safety analysis of a described installation</t>
  </si>
  <si>
    <t>• Fuses are placed in the neutral wire (they must be in the live wire).
• The earth wire carries current in normal operation.</t>
  </si>
  <si>
    <t>PH9.3.2.2</t>
  </si>
  <si>
    <t>PH8.2.5.4</t>
  </si>
  <si>
    <t>Paying for electricity</t>
  </si>
  <si>
    <t>• Calculate energy consumption in kilowatt-hours and the resulting cost.
• Convert between joules and kilowatt-hours.</t>
  </si>
  <si>
    <t>E (kWh) = P (kW) × t (h)   []
Cost = E (kWh) × unit price   [in local currency per kWh]
1 kWh = 3.6 × 10⁶ J   [conversion]</t>
  </si>
  <si>
    <t>• Find the monthly cost of running a stated set of appliances.
• Compare the running cost of two appliances of different power ratings.
• Find the saving from replacing an appliance with a more efficient one.</t>
  </si>
  <si>
    <t>T1 single appliance · T2 unit conversion, multiple appliances · T3 comparative saving analysis</t>
  </si>
  <si>
    <t>• The kilowatt-hour is a unit of power (it is a unit of energy).</t>
  </si>
  <si>
    <t>PH9.3.1.3</t>
  </si>
  <si>
    <t>PH8.2.5.5</t>
  </si>
  <si>
    <t>Dangers of electricity</t>
  </si>
  <si>
    <t>• Identify electrical hazards: damaged insulation, overloaded sockets, water near electricity, incorrect fuse rating.
• Explain the protective role of the earth wire, fuse, circuit breaker, and RCD.</t>
  </si>
  <si>
    <t>T1 hazard identification · T3 fault-scenario analysis</t>
  </si>
  <si>
    <t>PH9.3.2.4</t>
  </si>
  <si>
    <t>PH8.2.6.1</t>
  </si>
  <si>
    <t>L14: General Properties of Waves</t>
  </si>
  <si>
    <t>What is a wave?</t>
  </si>
  <si>
    <t>• Define a wave as a disturbance that transfers energy without transferring matter.
• Distinguish mechanical waves (requiring a medium) from electromagnetic waves.</t>
  </si>
  <si>
    <t>• Waves carry matter along with them.</t>
  </si>
  <si>
    <t>PH8.2.6.2</t>
  </si>
  <si>
    <t>Types of waves</t>
  </si>
  <si>
    <t>• Distinguish transverse waves (oscillation perpendicular to the direction of energy transfer) from longitudinal waves (oscillation parallel), with examples of each.
• Identify compressions and rarefactions in a longitudinal wave, and crests and troughs in a transverse wave.</t>
  </si>
  <si>
    <t>T1 classification · T2 diagram interpretation</t>
  </si>
  <si>
    <t>PH8.2.6.3</t>
  </si>
  <si>
    <t>Comparing transverse and longitudinal wave motions</t>
  </si>
  <si>
    <t>• Tabulate the similarities and differences between the two wave types.
• Classify examples: light, sound, water waves, seismic P- and S-waves, waves on a spring.</t>
  </si>
  <si>
    <t>PH8.2.6.4</t>
  </si>
  <si>
    <t>Terms used to describe a wave</t>
  </si>
  <si>
    <t>• Define wavelength, amplitude, frequency, period, and wave speed with correct symbols and SI units.
• Apply the wave equation v = f·λ and the relation f = 1/T.
• Read amplitude, wavelength, and period from a displacement–distance or displacement–time graph.</t>
  </si>
  <si>
    <t>v = f·λ   [v = wave speed (m s⁻¹); f = frequency (Hz); λ = wavelength (m)]
f = 1 / T   [T = period (s)]
T = 1 / f   []
λ = v / f · f = v / λ   [rearrangements]</t>
  </si>
  <si>
    <t>• Find v, f, or λ by substitution into v = fλ.
• Convert between period and frequency.
• Read λ and A from a displacement–distance graph; read T and A from a displacement–time graph, then find f and v.
• Compare two waves shown on the same axes.</t>
  </si>
  <si>
    <t>T1 direct v = fλ · T2 graph reading, T ↔ f conversion · T3 distinguishing the two graph types, combined graph-and-equation problems</t>
  </si>
  <si>
    <t>• Confusing a displacement–distance graph (shows wavelength) with a displacement–time graph (shows period).
• Believing amplitude affects wave speed.
• Using kHz or MHz values without converting to Hz.</t>
  </si>
  <si>
    <t>PH11.4.7</t>
  </si>
  <si>
    <t>PH9.1.1</t>
  </si>
  <si>
    <t>Ch1: Turning Effect of Forces</t>
  </si>
  <si>
    <t>Adding forces in the same line</t>
  </si>
  <si>
    <t>• Find the resultant of collinear forces, taking direction signs into account.
• Determine whether a body is in translational equilibrium.</t>
  </si>
  <si>
    <t>F_R = ΣF (with sign convention)   [newtons (N)]
Equilibrium: ΣF = 0   []</t>
  </si>
  <si>
    <t>• Find the resultant of two or more forces acting along the same line.
• Find the missing force that puts a body in equilibrium.
• Determine the direction of the resultant from the sign convention.</t>
  </si>
  <si>
    <t>PH9.1.2</t>
  </si>
  <si>
    <t>Resolving a force into components</t>
  </si>
  <si>
    <t>• Resolve a force into two perpendicular components using F_x = F cos θ and F_y = F sin θ.
• Recombine components into a resultant with magnitude and direction.
• Apply resolution to an object on an inclined plane.</t>
  </si>
  <si>
    <t>F_x = F·cos θ   [F = force magnitude (N); θ = angle from the x-axis]
F_y = F·sin θ   []
F = √(F_x² + F_y²)   [resultant magnitude]
θ = tan⁻¹(F_y / F_x)   [resultant direction]
On a slope of angle θ: component along slope = W·sin θ ; perpendicular = W·cos θ   [W = weight (N)]</t>
  </si>
  <si>
    <t>• Resolve a stated force into horizontal and vertical components.
• Find the component of weight acting down a slope.
• Find the resultant of two or more forces by resolving both and recombining.
• Find the tension in two ropes at stated angles supporting a load.</t>
  </si>
  <si>
    <t>T1 single resolution · T2 slope components · T3 multi-force resolution, tension in angled ropes</t>
  </si>
  <si>
    <t>• Swapping sin and cos for the component of interest.
• Forgetting that the component along a slope uses sin of the *slope angle*.</t>
  </si>
  <si>
    <t>PH9.1.3</t>
  </si>
  <si>
    <t>Turning effect of a force (moment)</t>
  </si>
  <si>
    <t>• Define the moment of a force as force multiplied by perpendicular distance from the pivot; state the SI unit N m.
• Calculate moments including for forces applied at an angle.
• Identify clockwise and anticlockwise moments.</t>
  </si>
  <si>
    <t>M = F·d   [M = moment (N m); F = force (N); d = perpendicular distance from pivot to line of action (m)]
M = F·d·sin θ   [for a force applied at angle θ to the lever arm]</t>
  </si>
  <si>
    <t>• Find the moment of a stated force about a stated pivot.
• Find the force required to produce a stated moment.
• Find the perpendicular distance needed.
• Explain why a longer spanner makes a nut easier to loosen.</t>
  </si>
  <si>
    <t>T1 direct M = Fd · T2 finding the perpendicular distance · T3 angled force, choosing the pivot</t>
  </si>
  <si>
    <t>• Using the direct distance rather than the *perpendicular* distance from the pivot to the line of action.</t>
  </si>
  <si>
    <t>PH9.1.4</t>
  </si>
  <si>
    <t>Principle of moments</t>
  </si>
  <si>
    <t>• State the principle of moments: for a body in equilibrium, the sum of clockwise moments about any point equals the sum of anticlockwise moments.
• Apply the principle together with ΣF = 0 to solve for unknown forces and distances.</t>
  </si>
  <si>
    <t>Σ M_clockwise = Σ M_anticlockwise   [N m]
ΣF_up = ΣF_down   [N (translational equilibrium)]</t>
  </si>
  <si>
    <t>• Balanced metre rule: find the unknown mass or its position.
• Uniform beam with its weight acting at its centre plus additional loads.
• Non-uniform beam: find the position of the centre of gravity.
• Two-support beam (bridge/plank on two trestles): find both reaction forces.
• See-saw problems with several children.</t>
  </si>
  <si>
    <t>T1 simple two-force balance · T2 include the beam's own weight · T3 two-support reactions, non-uniform beam, multiple loads</t>
  </si>
  <si>
    <t>• Ignoring the weight of the beam itself.
• Measuring distances from the wrong point (must be from the chosen pivot).</t>
  </si>
  <si>
    <t>cranes and counterweights, beam bridges, wheelbarrows, balance scales, structural load paths.</t>
  </si>
  <si>
    <t>PH9.1.5</t>
  </si>
  <si>
    <t>Parallel forces</t>
  </si>
  <si>
    <t>• Replace two parallel forces with a single equivalent force, finding its magnitude and line of action.
• Resolve a single force into two parallel forces at stated positions.
• Apply to a load carried by two people or a beam on two supports.</t>
  </si>
  <si>
    <t>Resultant magnitude: R = F₁ + F₂ (same direction)   [N]
Position: F₁·d₁ = F₂·d₂ (moments about the line of action of R)   [m]
Two supports: R₁ + R₂ = W and moments about one support give the other   []</t>
  </si>
  <si>
    <t>• Find the reaction at each support of a loaded beam.
• Find where a single equivalent force acts.
• Find how a load should be positioned so two carriers share it in a stated ratio.</t>
  </si>
  <si>
    <t>PH9.1.6</t>
  </si>
  <si>
    <t>Centre of gravity</t>
  </si>
  <si>
    <t>• Define the centre of gravity as the point at which the whole weight of a body appears to act.
• Locate the centre of gravity of a regular lamina by symmetry and of an irregular lamina by the plumb-line method.
• Explain why the centre of gravity of a uniform beam is at its midpoint.</t>
  </si>
  <si>
    <t>• Identify the centre of gravity of a stated shape.
• Describe the plumb-line experiment.
• Find the centre of gravity of a composite body from moments.</t>
  </si>
  <si>
    <t>T1 · T2 · T3 (composite bodies)</t>
  </si>
  <si>
    <t>PH9.1.7</t>
  </si>
  <si>
    <t>Stability</t>
  </si>
  <si>
    <t>• Distinguish stable, unstable, and neutral equilibrium and describe how the centre of gravity moves in each when the body is tilted.
• State the two conditions for high stability: low centre of gravity and wide base.
• Explain the toppling condition: a body topples when the vertical line through its centre of gravity falls outside its base.</t>
  </si>
  <si>
    <t>• Classify a described situation as stable, unstable, or neutral.
• Explain a design (racing car, bus, Bunsen burner, double-decker bus tilt test).
• Determine the tilt angle at which an object topples.</t>
  </si>
  <si>
    <t>T1 classification · T2 design explanation · T3 toppling-angle calculation</t>
  </si>
  <si>
    <t>vehicle rollover thresholds, crane stability, ship ballast, furniture safety standards.</t>
  </si>
  <si>
    <t>PH9.2.1</t>
  </si>
  <si>
    <t>Ch2: Simple Machines</t>
  </si>
  <si>
    <t>Definition of a machine; how machines make work easier</t>
  </si>
  <si>
    <t>• Define a machine as a device that makes work easier by changing the size, direction, or point of application of a force.
• State that a machine does not reduce the total work required (and in practice increases it, because of friction).
• Define effort, load, mechanical advantage, velocity ratio, and efficiency.</t>
  </si>
  <si>
    <t>MA = Load / Effort   [mechanical advantage (dimensionless)]
VR = distance moved by effort / distance moved by load   [velocity ratio (dimensionless)]
Efficiency = (MA / VR) × 100 %   []
Efficiency = (useful work output / work input) × 100 %   []
Work output = Load × load distance · Work input = Effort × effort distance   [joules (J)]</t>
  </si>
  <si>
    <t>• Compute MA, VR, and efficiency from stated forces and distances.
• Find the effort needed to lift a load with a machine of stated efficiency.
• Explain why efficiency is always less than 100 %.</t>
  </si>
  <si>
    <t>T1 MA or VR alone · T2 efficiency from MA and VR · T3 real machine with friction, effort-for-target-load</t>
  </si>
  <si>
    <t>• A machine reduces the work needed (it reduces the *force*, at the cost of distance).
• MA and VR are the same quantity.</t>
  </si>
  <si>
    <t>PH9.2.2.1</t>
  </si>
  <si>
    <t>L1: The Lever</t>
  </si>
  <si>
    <t>Levers and classes of lever</t>
  </si>
  <si>
    <t>• Identify the fulcrum, effort, and load in a lever.
• Classify levers as first class (fulcrum between effort and load: crowbar, scissors, see-saw), second class (load between: wheelbarrow, nutcracker, bottle opener), and third class (effort between: tweezers, fishing rod, human forearm).
• State which classes give MA &gt; 1 and which give MA &lt; 1.</t>
  </si>
  <si>
    <t>• Classify a described or pictured lever.
• Identify effort, load, and fulcrum on a diagram.</t>
  </si>
  <si>
    <t>T1 classification · T2 justify the class from a diagram</t>
  </si>
  <si>
    <t>PH9.2.2.2</t>
  </si>
  <si>
    <t>Mechanical advantage of a lever</t>
  </si>
  <si>
    <t>• Calculate the MA of a lever from the ratio of effort arm to load arm.
• Apply the principle of moments to lever problems.</t>
  </si>
  <si>
    <t>Load × load arm = Effort × effort arm   [N and m]
MA = effort arm / load arm = Load / Effort   [dimensionless]
VR = effort arm / load arm   [for an ideal lever, VR = MA]</t>
  </si>
  <si>
    <t>• Find the effort needed to lift a stated load with given arm lengths.
• Find the arm length needed for a target MA.
• Find the MA of a described tool.</t>
  </si>
  <si>
    <t>T1 · T2 · T3 (design for target MA)</t>
  </si>
  <si>
    <t>PH9.2.3</t>
  </si>
  <si>
    <t>Lesson 2: The Inclined Plane</t>
  </si>
  <si>
    <t>• Explain how an inclined plane reduces the effort needed to raise a load, at the cost of a longer distance.
• Calculate MA, VR, and efficiency for an inclined plane.</t>
  </si>
  <si>
    <t>VR = length of incline / height of incline = L / h   [dimensionless]
VR = 1 / sin θ   [θ = angle of the incline]
Ideal effort = W·sin θ   [W = load weight (N)]
MA = Load / Effort   []
Efficiency = (MA / VR) × 100 %   []
Work output = W·h · Work input = Effort × L   [joules (J)]</t>
  </si>
  <si>
    <t>• Find the effort needed to push a load up a frictionless ramp.
• Find the efficiency of a real ramp where the actual effort exceeds the ideal.
• Find the ramp length needed for a stated MA.
• Compare lifting vertically with using a ramp.</t>
  </si>
  <si>
    <t>T1 VR from L and h · T2 ideal effort, efficiency · T3 friction included, design problems</t>
  </si>
  <si>
    <t>wheelchair ramps and building codes, loading ramps, mountain road switchbacks, screw threads and wedges as inclined planes.</t>
  </si>
  <si>
    <t>PH9.2.4.1</t>
  </si>
  <si>
    <t>L3: Gear and Belt Systems</t>
  </si>
  <si>
    <t>Gears</t>
  </si>
  <si>
    <t>• Explain how meshed gears transmit motion and reverse direction of rotation.
• Calculate the gear ratio and the resulting speed and torque changes.</t>
  </si>
  <si>
    <t>Gear ratio = N_driven / N_driver   [N = number of teeth]
ω_driver·N_driver = ω_driven·N_driven   [ω = angular speed (rev s⁻¹ or rad s⁻¹)]
n_driver / n_driven = N_driven / N_driver   [n = rotational speed (rpm)]
MA (torque gain) = N_driven / N_driver   []</t>
  </si>
  <si>
    <t>• Find the output speed of a gear train from tooth counts.
• Find the tooth count needed for a target speed reduction.
• Determine the direction of rotation through a gear train.
• Compound gear train calculations.</t>
  </si>
  <si>
    <t>T1 two-gear ratio · T2 speed and direction · T3 compound trains, torque–speed trade-off</t>
  </si>
  <si>
    <t>• A larger gear turns faster (a larger driven gear turns slower with more torque).</t>
  </si>
  <si>
    <t>PH9.2.4.2</t>
  </si>
  <si>
    <t>Belt systems</t>
  </si>
  <si>
    <t>• Explain how belt-and-pulley systems transmit motion, and the effect of a crossed belt on direction.
• Calculate speed ratios from pulley diameters.</t>
  </si>
  <si>
    <t>d₁·n₁ = d₂·n₂   [d = pulley diameter (m); n = rotational speed (rpm)]
Speed ratio = d_driver / d_driven   []</t>
  </si>
  <si>
    <t>• Find the driven pulley speed from the driver speed and the two diameters.
• Find the pulley diameter needed for a stated speed ratio.
• Determine the direction of rotation for an open and a crossed belt.
• Compare a belt drive with a gear drive for a stated application.</t>
  </si>
  <si>
    <t>bicycle gearing, car gearboxes, machine tool drives, conveyor systems.</t>
  </si>
  <si>
    <t>PH9.2.5</t>
  </si>
  <si>
    <t>Lesson 4: Pulleys</t>
  </si>
  <si>
    <t>• Distinguish fixed, movable, and block-and-tackle pulley systems.
• State that a single fixed pulley has MA = 1 (it changes direction only) and a single movable pulley has MA = 2.
• Calculate MA, VR, and efficiency for a pulley system, including the effect of the weight of the movable block.</t>
  </si>
  <si>
    <t>VR = number of rope sections supporting the load = n   [dimensionless]
Ideal: Effort = Load / n   [N]
With movable block weight: Effort = (Load + W_block) / n   [N]
MA = Load / Effort · Efficiency = (MA/VR) × 100 %   []</t>
  </si>
  <si>
    <t>• Find the effort needed for a stated load in an n-pulley system.
• Find how far the effort must move to raise the load a stated height.
• Find efficiency and the energy wasted.
• Determine n from a diagram of the pulley arrangement.</t>
  </si>
  <si>
    <t>T1 count rope sections · T2 effort and distance · T3 efficiency with block weight and friction</t>
  </si>
  <si>
    <t>• Counting the number of pulleys instead of the number of supporting rope sections.
• Believing a pulley system reduces the total work done.</t>
  </si>
  <si>
    <t>PH9.2.6</t>
  </si>
  <si>
    <t>Lesson 5: Wheel and Axle</t>
  </si>
  <si>
    <t>• Describe the wheel and axle as a continuous lever.
• Calculate MA and VR from the wheel and axle radii.</t>
  </si>
  <si>
    <t>VR = R / r   [R = wheel radius (m); r = axle radius (m)]
Ideal: Effort × R = Load × r   [N and m]
MA = R / r (ideal) · Efficiency = (MA/VR) × 100 %   []</t>
  </si>
  <si>
    <t>• Find the effort needed at the wheel to raise a load on the axle (windlass, well bucket).
• Find the radius ratio needed for a target MA.</t>
  </si>
  <si>
    <t>steering wheels, screwdrivers, doorknobs, winches, capstans, bicycle wheels.</t>
  </si>
  <si>
    <t>PH9.3.1.1</t>
  </si>
  <si>
    <t>Ch3: Electricity</t>
  </si>
  <si>
    <t>L1: Electric Energy</t>
  </si>
  <si>
    <t>Electricity generation</t>
  </si>
  <si>
    <t>• Describe how electrical energy is generated from thermal, hydro, wind, solar, and nuclear sources.
• Trace the energy transfer chain from primary source to electrical output.
• Compare renewable and non-renewable sources on availability, cost, and environmental impact.</t>
  </si>
  <si>
    <t>T1 · T2 · T3 (comparative evaluation)</t>
  </si>
  <si>
    <t>PH9.3.1.2</t>
  </si>
  <si>
    <t>Electrical energy</t>
  </si>
  <si>
    <t>• Calculate electrical energy transferred using E = VIt, E = Pt, and the derived forms.
• Convert between joules and kilowatt-hours.</t>
  </si>
  <si>
    <t>E = V·I·t   [E (J); V (V); I (A); t (s)]
E = P·t · P = V·I   [P (W)]
E = I²·R·t · E = (V²/R)·t   []
1 kWh = 3.6 × 10⁶ J   []</t>
  </si>
  <si>
    <t>• Find the electrical energy transferred by an appliance over a stated time.
• Find the power from energy and time, or from V and I.
• Convert between joules and kilowatt-hours.
• Find the energy dissipated in a resistor using E = I²Rt.</t>
  </si>
  <si>
    <t>The cost of using electrical energy</t>
  </si>
  <si>
    <t>• Calculate the number of units (kWh) consumed by appliances and the total cost.
• Read an energy meter and compute consumption between two readings.
• Evaluate the cost saving from a more efficient appliance.</t>
  </si>
  <si>
    <t>Units used = P(kW) × t(h)   [kWh]
Cost = units × tariff   [currency]
Consumption = final meter reading − initial reading   [kWh]</t>
  </si>
  <si>
    <t>• Monthly household bill from a list of appliances with power ratings and daily usage hours.
• Cost comparison between an incandescent and an LED lamp over a year.
• Meter reading difference problems.</t>
  </si>
  <si>
    <t>T1 single appliance · T2 multi-appliance bill · T3 comparative/payback analysis</t>
  </si>
  <si>
    <t>PH9.3.1.4</t>
  </si>
  <si>
    <t>Electric energy and heat energy</t>
  </si>
  <si>
    <t>• Apply the principle that electrical energy supplied to a heater equals the heat energy gained by the substance (assuming no losses).
• Combine E = VIt (or Pt) with Q = mcΔθ to solve heating problems.
• Include efficiency where losses are stated.
• Calculate the heat energy gained or lost by a substance during electrical heating.</t>
  </si>
  <si>
    <t>V·I·t = m·c·Δθ   [electrical energy = heat energy (ideal)]
P·t = m·c·Δθ   []
With efficiency η: η × P·t = m·c·Δθ   [η as a decimal fraction]
Q = m·c·Δθ   [Q (J); m (kg); c (J kg⁻¹ K⁻¹); Δθ (K)]</t>
  </si>
  <si>
    <t>• Find the time for an immersion heater to raise water to a stated temperature.
• Find the power rating of a heater from the heating time and temperature rise.
• Find the specific heat capacity from experimental heating data.
• Find the efficiency of a real kettle given the actual heating time.
• Find the final temperature after a stated heating time.</t>
  </si>
  <si>
    <t>T1 Q = mcΔθ alone · T2 equate Pt = mcΔθ and solve for t or P · T3 efficiency included, calorimeter thermal capacity included</t>
  </si>
  <si>
    <t>• Forgetting to convert mass from grams to kilograms, or time from minutes to seconds.
• Assuming 100 % efficiency when heat losses are stated.</t>
  </si>
  <si>
    <t>electric kettles and water heaters, industrial furnaces, cooking appliance ratings, energy labelling.</t>
  </si>
  <si>
    <t>PH10.2.2.1</t>
  </si>
  <si>
    <t>PH9.3.2.1</t>
  </si>
  <si>
    <t>L2: Household Wiring System</t>
  </si>
  <si>
    <t>Electrical power transmission</t>
  </si>
  <si>
    <t>• Explain why electricity is transmitted at high voltage: for a given power, higher V means lower I, and power loss in the lines is I²R.
• Describe the role of step-up and step-down transformers in the grid.</t>
  </si>
  <si>
    <t>P_loss = I²·R_line   [W]
P = V·I → I = P/V   [so raising V lowers I for the same P]</t>
  </si>
  <si>
    <t>• Calculate transmission power loss at two different voltages and compare.
• Explain why the loss falls by a factor of 4 when the voltage doubles.</t>
  </si>
  <si>
    <t>T2 calculation · T3 comparative reasoning and justification</t>
  </si>
  <si>
    <t>Electrical devices: live, neutral and earth</t>
  </si>
  <si>
    <t>• Identify the live (brown), neutral (blue), and earth (green/yellow) wires and state the function of each.
• Explain the operation of fuses, circuit breakers, and residual current devices.
• Explain why a switch and fuse must be in the *live* wire.
• Explain double insulation and identify appliances that need no earth wire.</t>
  </si>
  <si>
    <t>• Select the correct fuse rating for a stated appliance (compute I = P/V, then choose the next fuse above).
• Analyse a described wiring fault and state the hazard and the protection that acts.
• Explain why a metal-cased appliance must be earthed.</t>
  </si>
  <si>
    <t>T1 colour code recall · T2 fuse-rating calculation · T3 fault analysis</t>
  </si>
  <si>
    <t>• Any fuse will do as long as it is bigger than the current.
• The earth wire carries current in normal operation.</t>
  </si>
  <si>
    <t>PH9.3.2.3</t>
  </si>
  <si>
    <t>Two-way switches</t>
  </si>
  <si>
    <t>• Draw the circuit for a two-way switching arrangement (staircase lighting) and explain its operation from either position.
• Extend to intermediate switching where taught.</t>
  </si>
  <si>
    <t>• Complete a two-way switch circuit diagram.
• Determine whether the lamp is on for a stated combination of switch positions.</t>
  </si>
  <si>
    <t>T2 diagram completion · T3 truth-table reasoning</t>
  </si>
  <si>
    <t>• Identify electric shock, fire from overloading, and short circuits as the main hazards, and describe the physiological effect of current on the body.
• Describe safe practice: correct fuse rating, no overloaded sockets, dry hands, damaged-cable replacement, isolation before repair.</t>
  </si>
  <si>
    <t>PH9.4.1.1</t>
  </si>
  <si>
    <t>Ch4: Electromagnetism</t>
  </si>
  <si>
    <t>L1: Magnetic Field</t>
  </si>
  <si>
    <t>Magnetic field due to a current-carrying wire</t>
  </si>
  <si>
    <t>• Describe the magnetic field around a long straight current-carrying wire as concentric circles.
• Apply the right-hand grip rule to find the field direction.
• State that field strength increases with current and decreases with distance from the wire.
• Describe an experiment (iron filings, plotting compasses) demonstrating the field.</t>
  </si>
  <si>
    <t>• Determine the field direction at a stated point given the current direction.
• Predict the deflection of a compass placed near the wire.
• Predict the effect of reversing or increasing the current.</t>
  </si>
  <si>
    <t>T1 rule application · T2 field-direction determination · T3 combined-field reasoning</t>
  </si>
  <si>
    <t>• Field lines run along the wire rather than in circles around it.</t>
  </si>
  <si>
    <t>PH10.3.3.1, PH12.5.2</t>
  </si>
  <si>
    <t>PH9.4.1.2</t>
  </si>
  <si>
    <t>Magnetic field in a solenoid</t>
  </si>
  <si>
    <t>• Describe the field pattern of a solenoid as similar to that of a bar magnet, uniform and strong inside.
• Apply the right-hand grip rule to find the solenoid's north pole.
• State the factors that increase the field strength: more turns, larger current, soft-iron core.</t>
  </si>
  <si>
    <t>• Identify the poles of a solenoid from the current direction and winding sense.
• Predict the effect of a stated change on the field strength.</t>
  </si>
  <si>
    <t>PH10.3.3.3, PH12.5.3</t>
  </si>
  <si>
    <t>PH9.4.1.3</t>
  </si>
  <si>
    <t>Electromagnets</t>
  </si>
  <si>
    <t>• Explain the construction and operation of an electromagnet and the advantage of a soft-iron core.
• Describe applications: electric bell, relay, magnetic crane, circuit breaker, loudspeaker, magnetic locks.
• Compare an electromagnet with a permanent magnet.</t>
  </si>
  <si>
    <t>• Explain the operation of a named device (bell, relay) step by step.
• Propose modifications to increase the strength of an electromagnet.</t>
  </si>
  <si>
    <t>T2 device explanation · T3 design and comparison</t>
  </si>
  <si>
    <t>scrapyard cranes, MRI machines, maglev trains, relays in control circuits, electric door locks.</t>
  </si>
  <si>
    <t>PH9.4.2.1</t>
  </si>
  <si>
    <t>L2: Magnetic Force</t>
  </si>
  <si>
    <t>Force on a current-carrying conductor in a magnetic field</t>
  </si>
  <si>
    <t>• State that a current-carrying conductor in a magnetic field experiences a force (the motor effect).
• Apply Fleming's left-hand rule to find the direction of the force.
• State that the force is greatest when the conductor is perpendicular to the field and zero when parallel.
• State the factors affecting the force: current, field strength, length in the field.</t>
  </si>
  <si>
    <t>• Determine the direction of force given field and current directions.
• Predict the effect of reversing the current or the field.
• Explain the observation in the "jumping wire" demonstration.</t>
  </si>
  <si>
    <t>T1 rule application · T2 reversal prediction · T3 three-dimensional geometry problems</t>
  </si>
  <si>
    <t>• Confusing Fleming's left-hand rule (motor) with the right-hand rule (generator).</t>
  </si>
  <si>
    <t>PH12.5.4</t>
  </si>
  <si>
    <t>PH9.4.2.2</t>
  </si>
  <si>
    <t>The DC motor</t>
  </si>
  <si>
    <t>• Describe the structure of a simple DC motor: coil, magnets, split-ring commutator, brushes.
• Explain how the split-ring commutator reverses the current every half turn to maintain rotation in one direction.
• State the factors that increase the turning effect: more turns, larger current, stronger magnets, larger coil area, soft-iron core.</t>
  </si>
  <si>
    <t>• Explain the function of a named component.
• Explain what would happen without a commutator.
• Propose modifications to increase motor speed or torque.</t>
  </si>
  <si>
    <t>T2 component function · T3 full operating cycle explanation</t>
  </si>
  <si>
    <t>• The commutator supplies the current (it reverses the current direction in the coil).</t>
  </si>
  <si>
    <t>PH12.5.5</t>
  </si>
  <si>
    <t>PH9.4.2.3</t>
  </si>
  <si>
    <t>The simple AC generator (alternator)</t>
  </si>
  <si>
    <t>• Describe the structure of a simple AC generator: coil, magnets, slip rings, brushes.
• Explain how rotating the coil in a magnetic field induces an alternating e.m.f.
• Sketch the output voltage against time and relate the peaks to the coil orientation (maximum e.m.f. when the coil moves perpendicular to the field lines; zero when parallel).
• Contrast slip rings (AC) with a split-ring commutator (DC).</t>
  </si>
  <si>
    <t>• Sketch or interpret the output waveform.
• Identify the coil position corresponding to a stated point on the waveform.
• Predict the effect of doubling the rotation speed on frequency and peak voltage.</t>
  </si>
  <si>
    <t>T2 waveform interpretation · T3 speed–frequency–amplitude reasoning</t>
  </si>
  <si>
    <t>• Maximum e.m.f. occurs when the coil is in the plane of the field (it occurs when the coil is parallel to the field lines and cutting them fastest).</t>
  </si>
  <si>
    <t>PH10.3.4.3, PH12.6.4</t>
  </si>
  <si>
    <t>PH9.4.2.4</t>
  </si>
  <si>
    <t>Practical generators and transformers</t>
  </si>
  <si>
    <t>• Describe practical generator design (rotating field, stationary armature, multiple coils).
• State the function of a transformer and the turns-ratio relationship.
• Distinguish step-up and step-down transformers.</t>
  </si>
  <si>
    <t>V_s / V_p = N_s / N_p   [V = voltage (V); N = number of turns]
For an ideal transformer: V_p·I_p = V_s·I_s   [power conservation]
I_s / I_p = N_p / N_s   []</t>
  </si>
  <si>
    <t>• Find the secondary voltage from the turns ratio.
• Find the number of turns needed for a stated output voltage.
• Find the secondary current in an ideal transformer.
• Classify a transformer as step-up or step-down.</t>
  </si>
  <si>
    <t>T1 turns ratio · T2 rearrangement · T3 power conservation, efficiency included</t>
  </si>
  <si>
    <t>• A transformer increases power (it trades voltage for current).
• Transformers work with DC (they require a changing flux).</t>
  </si>
  <si>
    <t>PH10.3.4.6, PH12.7.6</t>
  </si>
  <si>
    <t>PH9.5.1.1</t>
  </si>
  <si>
    <t>Ch5: Light</t>
  </si>
  <si>
    <t>L1: Light Rays</t>
  </si>
  <si>
    <t>Sources of light</t>
  </si>
  <si>
    <t>• Distinguish luminous from non-luminous objects, and natural from artificial sources.
• Explain that we see non-luminous objects by reflected light.</t>
  </si>
  <si>
    <t>PH9.5.1.2</t>
  </si>
  <si>
    <t>Rays and beams</t>
  </si>
  <si>
    <t>• Define a ray as the path of light and a beam as a bundle of rays.
• Distinguish parallel, converging, and diverging beams.
• State that light travels in straight lines in a uniform medium (rectilinear propagation).</t>
  </si>
  <si>
    <t>PH9.5.1.3</t>
  </si>
  <si>
    <t>Shadows</t>
  </si>
  <si>
    <t>• Explain the formation of shadows from rectilinear propagation.
• Distinguish umbra (full shadow, point or extended source) from penumbra (partial shadow, extended source only).
• Explain solar and lunar eclipses using shadow geometry.</t>
  </si>
  <si>
    <t>Shadow size / object size = distance to screen / distance to object   [similar triangles, consistent length units]</t>
  </si>
  <si>
    <t>• Draw or identify the umbra and penumbra for a stated source and object.
• Calculate shadow size using similar triangles.
• Identify the type of eclipse from a Sun–Earth–Moon diagram.</t>
  </si>
  <si>
    <t>T1 identification · T2 similar-triangle size calculation · T3 eclipse geometry</t>
  </si>
  <si>
    <t>• A point source produces a penumbra (it produces only an umbra).</t>
  </si>
  <si>
    <t>PH9.5.1.4</t>
  </si>
  <si>
    <t>Speed of light</t>
  </si>
  <si>
    <t>• State that the speed of light in a vacuum is c = 3.0 × 10⁸ m s⁻¹, and that it is slower in other media.
• Calculate distances and times using d = c·t, including light-years and radar/echo methods.</t>
  </si>
  <si>
    <t>c = 3.0 × 10⁸ m s⁻¹   [speed of light in vacuum]
d = c·t   [d (m); t (s)]
Echo/radar: d = c·t / 2   [for a there-and-back path]
1 light-year = 9.46 × 10¹⁵ m   []</t>
  </si>
  <si>
    <t>• Find the time for light to travel a stated distance.
• Convert light-years to metres.
• Radar or laser ranging distance (remember to halve).</t>
  </si>
  <si>
    <t>T1 direct · T2 standard-form manipulation · T3 there-and-back halving, astronomical scales</t>
  </si>
  <si>
    <t>PH9.5.2.1</t>
  </si>
  <si>
    <t>L2: Reflection of Light</t>
  </si>
  <si>
    <t>The law of reflection</t>
  </si>
  <si>
    <t>• State the laws of reflection: the incident ray, reflected ray, and normal all lie in the same plane; the angle of incidence equals the angle of reflection.
• Measure angles from the *normal*, not the surface.
• Apply the law to find unknown angles in single- and multiple-mirror arrangements.</t>
  </si>
  <si>
    <t>i = r   [i = angle of incidence, r = angle of reflection, both measured from the normal (degrees)]
Total deviation on reflection: 180° − 2i   [degrees]
Two mirrors at angle θ: deviation = 360° − 2θ   []</t>
  </si>
  <si>
    <t>• Find the reflected angle given the incident angle.
• Find the angle between incident and reflected rays.
• Two-mirror problems: trace a ray through both and find the final direction.
• Rotating-mirror problem: rotating the mirror by θ rotates the reflected ray by 2θ.</t>
  </si>
  <si>
    <t>T1 i = r · T2 angle-from-surface conversion · T3 two-mirror and rotating-mirror geometry</t>
  </si>
  <si>
    <t>• Measuring angles from the mirror surface rather than from the normal.</t>
  </si>
  <si>
    <t>PH9.5.2.2</t>
  </si>
  <si>
    <t>The periscope</t>
  </si>
  <si>
    <t>• Describe the construction of a simple periscope using two plane mirrors at 45°.
• Trace the ray path through a periscope.
• State the advantage of using right-angled prisms instead of mirrors (brighter image, no multiple reflections).</t>
  </si>
  <si>
    <t>T2 ray tracing · T3 mirror-vs-prism comparison</t>
  </si>
  <si>
    <t>PH9.5.2.3</t>
  </si>
  <si>
    <t>Regular and diffuse reflection</t>
  </si>
  <si>
    <t>• Distinguish regular reflection from a smooth surface (parallel rays stay parallel, image formed) from diffuse reflection from a rough surface (rays scattered, no image).
• Explain why we can see non-luminous objects from all directions and why a road appears bright when wet at night.</t>
  </si>
  <si>
    <t>T1 classify · T3 real-world explanation</t>
  </si>
  <si>
    <t>• Diffuse reflection does not obey the law of reflection (it does — the normals point in different directions at each point).</t>
  </si>
  <si>
    <t>PH9.5.3.1</t>
  </si>
  <si>
    <t>L3: Mirrors</t>
  </si>
  <si>
    <t>Plane mirrors: objects and images</t>
  </si>
  <si>
    <t>• State the properties of an image in a plane mirror: virtual, upright, same size, laterally inverted, and as far behind the mirror as the object is in front.
• Construct ray diagrams to locate the image.
• Explain lateral inversion.</t>
  </si>
  <si>
    <t>image distance = object distance   [metres (m), image behind the mirror]
Minimum mirror height to see a full body = half the person's height   [independent of distance]
Two mirrors at angle θ: number of images n = (360/θ) − 1   [for 360/θ an integer]</t>
  </si>
  <si>
    <t>• Determine image position and properties.
• Calculate the minimum mirror size needed.
• Count images formed by two mirrors at a stated angle.
• Draw the ray diagram for a plane mirror image.</t>
  </si>
  <si>
    <t>T1 properties recall · T2 image distance, ray diagram · T3 minimum mirror size, multiple images</t>
  </si>
  <si>
    <t>• A mirror reverses left and right (it reverses front and back; apparent lateral inversion is a consequence).
• Standing further from a mirror lets you see more of yourself (the required mirror height is independent of distance).</t>
  </si>
  <si>
    <t>PH9.5.3.2</t>
  </si>
  <si>
    <t>Concave mirrors: ray diagrams</t>
  </si>
  <si>
    <t>• Define the pole, centre of curvature, principal focus, focal length, and principal axis.
• Construct ray diagrams using the standard construction rays (parallel-to-axis → through F; through C → back on itself; through F → parallel to axis).
• Determine image nature (real/virtual, upright/inverted, magnified/diminished) for object positions beyond C, at C, between C and F, at F, and inside F.</t>
  </si>
  <si>
    <t>f = R / 2   [f = focal length (m or cm); R = radius of curvature]</t>
  </si>
  <si>
    <t>• Construct the ray diagram for a stated object position.
• State the image characteristics for a stated object position.
• Identify the object position from a stated image description.</t>
  </si>
  <si>
    <t>T1 image nature recall · T2 ray diagram construction · T3 inverse problems</t>
  </si>
  <si>
    <t>PH9.5.3.3</t>
  </si>
  <si>
    <t>Equations of the concave mirror</t>
  </si>
  <si>
    <t>• Apply the mirror equation and the magnification formula with correct sign conventions.
• Interpret a negative image distance as a virtual image and a negative magnification as an inverted image.</t>
  </si>
  <si>
    <t>1/f = 1/u + 1/v   [f = focal length; u = object distance; v = image distance (all cm or all m)]
m = h_i / h_o = −v / u   [m = magnification (dimensionless); h = heights]
f = R / 2   []</t>
  </si>
  <si>
    <t>• Find v given u and f; find u given v and f; find f given u and v.
• Find the magnification and image height.
• Find the object position that gives a stated magnification.
• Determine whether the image is real or virtual from the sign of v.</t>
  </si>
  <si>
    <t>T1 substitute into 1/f = 1/u + 1/v · T2 rearrange for u or f, find m · T3 given magnification find position, sign interpretation</t>
  </si>
  <si>
    <t>• Adding u and v instead of their reciprocals.
• Forgetting to invert the reciprocal at the end.
• Ignoring sign conventions for virtual images.</t>
  </si>
  <si>
    <t>PH9.5.3.4</t>
  </si>
  <si>
    <t>Convex mirrors</t>
  </si>
  <si>
    <t>• Construct ray diagrams for a convex mirror and state that the image is always virtual, upright, and diminished.
• Apply the mirror equation with f negative.
• Explain the use of convex mirrors as security and driving mirrors (wide field of view) and the accompanying distortion.</t>
  </si>
  <si>
    <t>T1 image nature · T2 ray diagram, equation with negative f · T3 application analysis</t>
  </si>
  <si>
    <t>vehicle wing mirrors, shop security mirrors, satellite dishes and headlamp reflectors (concave), dental mirrors, solar concentrators.</t>
  </si>
  <si>
    <t>PH9.5.4.1</t>
  </si>
  <si>
    <t>L4: Refraction of Light</t>
  </si>
  <si>
    <t>Facts about refraction</t>
  </si>
  <si>
    <t>• Define refraction as the change in direction of light on crossing a boundary between media of different optical density, caused by a change in speed.
• State that light bends *toward* the normal on entering a denser medium and *away* on entering a less dense medium.
• State that a ray along the normal is undeviated.
• Explain everyday refraction effects: bent stick in water, apparent shallowness of a pool, mirages, twinkling stars.</t>
  </si>
  <si>
    <t>T1 direction of bending · T2 ray diagram · T3 real-world explanation</t>
  </si>
  <si>
    <t>• Light bends because it "wants" to take a shorter path.
• Refraction occurs without any change in speed.</t>
  </si>
  <si>
    <t>PH9.5.4.2</t>
  </si>
  <si>
    <t>Real and apparent depth</t>
  </si>
  <si>
    <t>• Explain why a submerged object appears shallower than it is.
• Calculate refractive index from real and apparent depth.</t>
  </si>
  <si>
    <t>n = real depth / apparent depth   [n = refractive index (dimensionless)]
apparent depth = real depth / n   [metres or centimetres]
Apparent shift = real depth − apparent depth = real depth (1 − 1/n)   []</t>
  </si>
  <si>
    <t>• Find the apparent depth of an object in water (n = 1.33).
• Find the refractive index from measured real and apparent depths.
• Find the apparent upward shift of a coin in a beaker.</t>
  </si>
  <si>
    <t>T1 direct · T2 rearrangement · T3 apparent-shift and multi-layer problems</t>
  </si>
  <si>
    <t>PH9.5.4.3</t>
  </si>
  <si>
    <t>Refractive index and Snell's law</t>
  </si>
  <si>
    <t>• Define refractive index as the ratio of the speed of light in vacuum to that in the medium, and apply Snell's law.
• Calculate the angle of refraction or incidence for a stated pair of media.
• Define the critical angle and total internal reflection, and state the two conditions for TIR.</t>
  </si>
  <si>
    <t>n = c / v   [n = refractive index; c = 3.0 × 10⁸ m s⁻¹; v = speed in the medium (m s⁻¹)]
n = sin i / sin r   [for light passing from air into the medium; angles from the normal]
n₁·sin θ₁ = n₂·sin θ₂   [general Snell's law]
sin C = 1 / n   [C = critical angle (degrees)]
n₁ sin C = n₂ (for a general pair of media)   []</t>
  </si>
  <si>
    <t>• Find the angle of refraction from the angle of incidence and n.
• Find n from measured angles.
• Find the speed of light in a medium from n.
• Find the critical angle for a stated medium.
• Determine whether total internal reflection occurs for a stated angle.
• Trace a ray through a rectangular glass block (lateral displacement, emergent ray parallel to incident ray).</t>
  </si>
  <si>
    <t>T1 direct Snell substitution · T2 rearrange for i or n, critical angle · T3 glass-block ray tracing, TIR decision, multi-boundary paths</t>
  </si>
  <si>
    <t>• Measuring angles from the surface instead of the normal.
• Believing total internal reflection can occur going from a less dense to a denser medium.</t>
  </si>
  <si>
    <t>optical fibres and telecommunications, endoscopes, prismatic binoculars and periscopes, diamond brilliance, fibre-optic sensors.</t>
  </si>
  <si>
    <t>n_air ≈ 1.00 · n_water = 1.33 · n_glass ≈ 1.5 · n_diamond = 2.42</t>
  </si>
  <si>
    <t>PH10.4.1.2</t>
  </si>
  <si>
    <t>PH9.5.4.4</t>
  </si>
  <si>
    <t>Refraction by a prism</t>
  </si>
  <si>
    <t>• Trace a ray through a triangular prism and identify the deviation.
• Explain dispersion of white light into a spectrum by a prism in terms of different refractive indices for different colours.
• State the order of the spectrum (red deviated least, violet most).</t>
  </si>
  <si>
    <t>• Trace the ray path and mark the deviation angle.
• Explain dispersion and predict the spectrum order.
• Explain the formation of a rainbow.</t>
  </si>
  <si>
    <t>T2 ray tracing · T3 dispersion explanation, rainbow formation</t>
  </si>
  <si>
    <t>• The prism adds colour to the light (it separates colours already present).</t>
  </si>
  <si>
    <t>PH9.5.5.1</t>
  </si>
  <si>
    <t>L5: Lenses</t>
  </si>
  <si>
    <t>What are lenses?</t>
  </si>
  <si>
    <t>• Distinguish converging (convex) from diverging (concave) lenses by shape and effect on a parallel beam.
• Identify the optical centre, principal axis, principal focus, and focal length.</t>
  </si>
  <si>
    <t>PH9.5.5.2</t>
  </si>
  <si>
    <t>Properties of converging lenses</t>
  </si>
  <si>
    <t>• State that a converging lens brings a parallel beam to a real focus.
• Describe an experiment to measure the focal length of a converging lens using a distant object.</t>
  </si>
  <si>
    <t>PH9.5.5.3</t>
  </si>
  <si>
    <t>Ray diagrams for converging lenses</t>
  </si>
  <si>
    <t>• Construct ray diagrams using the standard construction rays (parallel-to-axis → through F; through optical centre → undeviated; through F → parallel to axis).
• Determine image characteristics for object positions beyond 2F, at 2F, between F and 2F, at F, and inside F.</t>
  </si>
  <si>
    <t>• Construct the ray diagram for a stated object position.
• State the image characteristics for a stated position.
• Identify the optical instrument that uses a stated configuration.</t>
  </si>
  <si>
    <t>T1 table recall · T2 ray diagram construction · T3 inverse problems</t>
  </si>
  <si>
    <t>PH9.5.5.4</t>
  </si>
  <si>
    <t>Images formed by converging lenses</t>
  </si>
  <si>
    <t>• Describe and explain the images used in the camera, projector, magnifying glass, and the human eye.
• Explain accommodation and the correction of short sight (diverging lens) and long sight (converging lens).</t>
  </si>
  <si>
    <t>T2 instrument analysis · T3 vision-correction reasoning</t>
  </si>
  <si>
    <t>PH9.5.5.5</t>
  </si>
  <si>
    <t>Diverging lenses</t>
  </si>
  <si>
    <t>• Construct ray diagrams for a diverging lens and state that the image is always virtual, upright, and diminished, on the same side as the object.
• Apply the lens equation with f negative.</t>
  </si>
  <si>
    <t>T1 image nature · T2 ray diagram, equation with negative f</t>
  </si>
  <si>
    <t>PH9.5.5.6</t>
  </si>
  <si>
    <t>Equations for thin lenses</t>
  </si>
  <si>
    <t>• Apply the thin-lens equation and the magnification formula with correct sign conventions.
• Calculate lens power where taught.</t>
  </si>
  <si>
    <t>1/f = 1/u + 1/v   [f = focal length; u = object distance; v = image distance (consistent units)]
m = h_i / h_o = v / u (magnitude)   [m = magnification (dimensionless)]
P = 1 / f   [P = power (dioptres, D); f in metres]
f positive for converging, negative for diverging   [sign convention]</t>
  </si>
  <si>
    <t>• Find v given u and f, and state the image nature from the sign.
• Find u given v and f (projector-setup problems).
• Find f from measured u and v.
• Find the magnification and image height.
• Find the object distance for a required magnification.
• Find lens power from focal length and vice versa.</t>
  </si>
  <si>
    <t>T1 direct substitution · T2 rearrangement, magnification · T3 design-for-magnification, sign interpretation, two-lens systems</t>
  </si>
  <si>
    <t>• Adding u and v directly rather than their reciprocals.
• Assuming a magnified image is always virtual.</t>
  </si>
  <si>
    <t>cameras and phone lenses, projectors, spectacles and contact lenses, microscopes, telescopes, endoscopes.</t>
  </si>
  <si>
    <t>PH10.4.2.3</t>
  </si>
  <si>
    <t>PH10.1.1.1</t>
  </si>
  <si>
    <t>Ch1: Mechanics</t>
  </si>
  <si>
    <t>L1: Motion in a Straight Line</t>
  </si>
  <si>
    <t>Uniform motion</t>
  </si>
  <si>
    <t>• Define distance, displacement, speed, and velocity precisely, and classify each as scalar or vector.
• Define uniform motion as motion with constant velocity (zero acceleration).
• Calculate average and instantaneous velocity.</t>
  </si>
  <si>
    <t>v = Δs / Δt   [v = velocity (m s⁻¹); Δs = displacement (m); Δt = time interval (s)]
s = v·t   [for uniform motion]
v_avg = total displacement / total time   []
speed_avg = total distance / total time   [note: not the same as average velocity]</t>
  </si>
  <si>
    <t>• Compute distance vs displacement and speed vs average velocity for a described path.
• Multi-segment journeys with different uniform velocities.
• Relative motion: two objects approaching or receding.</t>
  </si>
  <si>
    <t>T1 direct · T2 multi-segment averages · T3 average velocity vs average speed discrimination, relative motion</t>
  </si>
  <si>
    <t>• Average velocity equals the mean of the initial and final velocities (true only for uniform acceleration).</t>
  </si>
  <si>
    <t>Uniformly accelerated motion</t>
  </si>
  <si>
    <t>• Define acceleration as the rate of change of velocity, and identify uniform acceleration.
• Apply consistent sign conventions for direction.
• Distinguish acceleration, deceleration, and negative acceleration.</t>
  </si>
  <si>
    <t>a = (v − u) / t   [a (m s⁻²); u, v (m s⁻¹); t (s)]
a = Δv / Δt   []</t>
  </si>
  <si>
    <t>• Find the acceleration from the initial and final velocities and the time.
• Find the final velocity after a stated acceleration.
• Find the time to change velocity by a stated amount.
• Determine the sign of the acceleration for a described motion and interpret it.</t>
  </si>
  <si>
    <t>Graphical description of uniformly accelerated motion</t>
  </si>
  <si>
    <t>• Interpret displacement–time, velocity–time, and acceleration–time graphs and convert between them.
• Determine velocity from the gradient of a displacement–time graph (including tangents to curves).
• Determine acceleration from the gradient and displacement from the area under a velocity–time graph.
• Handle areas below the time axis as negative displacement.</t>
  </si>
  <si>
    <t>gradient of s–t graph = velocity   [m s⁻¹]
gradient of v–t graph = acceleration   [m s⁻²]
area under v–t graph = displacement   [m]
area under a–t graph = change in velocity   [m s⁻¹]</t>
  </si>
  <si>
    <t>• Full multi-phase v–t graph analysis: acceleration in each phase, total distance, average velocity.
• Convert an s–t graph into the corresponding v–t graph and vice versa.
• Interpret a graph with motion reversing direction.
• Sketch all three graphs for a described motion.</t>
  </si>
  <si>
    <t>T1 read a value · T2 single gradient or area · T3 multi-phase analysis, graph-type conversion, negative-area cases</t>
  </si>
  <si>
    <t>• Reading a displacement–time graph as a picture of the path.
• Ignoring sign when the object reverses direction.</t>
  </si>
  <si>
    <t>PH8.1.2.1, PH8.1.2.2</t>
  </si>
  <si>
    <t>Equations of uniformly accelerated motion</t>
  </si>
  <si>
    <t>• Derive the four kinematic equations from a velocity–time graph.
• Select and apply the appropriate equation from the given and required quantities.
• Solve problems including quadratic solutions and multi-stage motion.</t>
  </si>
  <si>
    <t>v = u + a·t   [u, v (m s⁻¹); a (m s⁻²); t (s)]
s = u·t + ½·a·t²   [s = displacement (m)]
v² = u² + 2·a·s   []
s = ½(u + v)·t   []
s = v·t − ½·a·t²   []</t>
  </si>
  <si>
    <t>• Standard four-variable problems in all forms.
• Vertical motion under gravity (a = ±g).
• Braking and stopping-distance problems, including reaction distance.
• Two-stage motion: acceleration then constant velocity then deceleration.
• Catch-up problems (two bodies, equations set equal).
• Quadratic-in-t problems (e.g. time to reach a given displacement while decelerating).</t>
  </si>
  <si>
    <t>T1 single-equation substitution · T2 equation selection and rearrangement · T3 multi-stage, quadratic, and two-body problems</t>
  </si>
  <si>
    <t>• Applying the equations where acceleration is not uniform.
• Sign errors in deceleration and vertical motion.
• Forgetting that a quadratic may have two physically meaningful roots.</t>
  </si>
  <si>
    <t>PH10.1.2.1</t>
  </si>
  <si>
    <t>L2: Forces and Newton's Laws</t>
  </si>
  <si>
    <t>Forces in nature</t>
  </si>
  <si>
    <t>• Name the four fundamental forces (gravitational, electromagnetic, strong nuclear, weak nuclear) and their relative strengths and ranges.
• Classify everyday forces (friction, tension, normal reaction, air resistance, upthrust) as manifestations of the electromagnetic force.</t>
  </si>
  <si>
    <t>PH10.1.2.2</t>
  </si>
  <si>
    <t>What effect do forces have?</t>
  </si>
  <si>
    <t>• State that a resultant force can change an object's speed, direction, or shape.
• Draw complete free-body diagrams for objects at rest, in uniform motion, and accelerating.
• Determine the resultant force from a free-body diagram.</t>
  </si>
  <si>
    <t>• Draw the free-body diagram for a described situation (box on a slope, hanging mass, lift, car accelerating).
• Find the resultant force and hence the acceleration.</t>
  </si>
  <si>
    <t>T1 identify forces · T2 free-body diagram · T3 resolve on an inclined plane</t>
  </si>
  <si>
    <t>• Including a "force of motion" in the direction of travel that does not exist.
• Omitting the normal reaction or including it as equal to weight on a slope.</t>
  </si>
  <si>
    <t>Mass and inertia</t>
  </si>
  <si>
    <t>• State Newton's first law and define inertia.
• Explain the relationship between mass and inertia and distinguish mass from weight.
• Explain everyday inertia phenomena.</t>
  </si>
  <si>
    <t>PH10.1.2.4</t>
  </si>
  <si>
    <t>Other effects of forces (deformation, momentum)</t>
  </si>
  <si>
    <t>• Apply Hooke's law F = kx and calculate elastic potential energy where taught.
• Introduce momentum as p = mv and relate force to the rate of change of momentum.</t>
  </si>
  <si>
    <t>F = k·x   [k = spring constant (N m⁻¹); x = extension (m)]
E_elastic = ½·k·x²   [joules (J)]
p = m·v   [p = momentum (kg m s⁻¹)]
F = Δp / Δt   [newtons (N)]</t>
  </si>
  <si>
    <t>• Find the spring constant or the extension using F = kx.
• Find the elastic potential energy stored in a stretched spring.
• Find the momentum of a moving body.
• Find the force from the rate of change of momentum.</t>
  </si>
  <si>
    <t>PH11.3.1</t>
  </si>
  <si>
    <t>• State Newton's second law in the form F = ma and as F = Δp/Δt.
• Apply to single bodies, connected bodies, and bodies on inclined planes.
• Analyse lift/elevator problems and find apparent weight.</t>
  </si>
  <si>
    <t>ΣF = m·a   [ΣF = resultant force (N); m (kg); a (m s⁻²)]
ΣF = Δp / Δt = m(v − u)/t   []
On a slope (frictionless): a = g·sin θ   [θ = slope angle]
On a slope with friction: a = g(sin θ − μ·cos θ)   [μ = coefficient of friction]
Lift: N = m(g + a) accelerating up; N = m(g − a) accelerating down   [N = normal (apparent weight) force (N)]
Connected bodies: a = ΣF_external / Σm ; then T from one body's equation   [T = tension (N)]</t>
  </si>
  <si>
    <t>• Find acceleration from a resultant force including friction.
• Find the force needed to produce a stated acceleration.
• Inclined-plane acceleration, with and without friction.
• Lift problems: apparent weight when accelerating up, down, at constant velocity, and in free fall.
• Two connected trolleys or masses over a pulley (Atwood machine): find a and T.
• Combine with kinematics to find velocity or distance after a stated time.</t>
  </si>
  <si>
    <t>T1 direct F = ma · T2 friction included, single slope · T3 lift problems, connected bodies with tension, force-plus-kinematics chains</t>
  </si>
  <si>
    <t>• Using the applied force rather than the resultant force.
• In an Atwood machine, using the total weight rather than the *difference* in weights as the driving force.
• Believing apparent weight changes at constant velocity in a lift (it does not).</t>
  </si>
  <si>
    <t>PH10.1.2.6</t>
  </si>
  <si>
    <t>Frictional forces</t>
  </si>
  <si>
    <t>• Distinguish static from kinetic friction and state that maximum static friction generally exceeds kinetic friction.
• Apply f = μN for both cases.
• State the factors friction depends on (nature of surfaces, normal force) and does not depend on (apparent contact area, speed, to a good approximation).
• Describe the advantages and disadvantages of friction and methods of reducing it (lubrication, bearings, streamlining).</t>
  </si>
  <si>
    <t>f_s ≤ μ_s·N   [f_s = static friction (N); μ_s = coefficient of static friction (dimensionless); N = normal force (N)]
f_k = μ_k·N   [f_k = kinetic friction (N); μ_k = coefficient of kinetic friction]
On a horizontal surface: N = m·g   []
On a slope: N = m·g·cos θ   []
Angle of friction/repose: tan θ = μ_s   [θ = angle at which sliding begins]</t>
  </si>
  <si>
    <t>• Find the friction force for a stated normal force and μ.
• Find the acceleration of a block being pushed against friction.
• Find the minimum force to start a block moving (uses μ_s).
• Find μ from the angle at which a block begins to slide.
• Find the stopping distance of a vehicle from μ and initial speed.
• Block on an incline: determine whether it slides and find the acceleration.</t>
  </si>
  <si>
    <t>T1 f = μN direct · T2 include weight and resultant force · T3 slope problems, angle of repose, braking distance</t>
  </si>
  <si>
    <t>• Friction always opposes motion (it opposes *relative* motion or tendency to move; it is what propels a walking person forward).
• Friction depends on the contact area.
• Using mass in kilograms directly as the normal force in newtons.</t>
  </si>
  <si>
    <t>tyre grip and ABS braking, bearings and lubricants, brake design, conveyor belts, road surface engineering.</t>
  </si>
  <si>
    <t>• State Newton's third law and identify action–reaction pairs, noting they act on different bodies.
• Explain propulsion (rockets, jets, walking, swimming) using the third law.
• Distinguish a third-law pair from balanced forces on a single body.</t>
  </si>
  <si>
    <t>L3: Work, Energy and Power</t>
  </si>
  <si>
    <t>Mechanical work of a constant force</t>
  </si>
  <si>
    <t>• Define work as the scalar product of force and displacement; calculate W = F·d·cos θ.
• Recognise positive, negative, and zero work and identify when each occurs.
• Calculate work done against gravity and against friction.
• Determine work from the area under a force–displacement graph.</t>
  </si>
  <si>
    <t>W = F·d·cos θ   [W = work (J); F = force (N); d = displacement (m); θ = angle between F and d]
W = F·d   [when θ = 0]
W = 0   [when θ = 90°]
W against gravity = m·g·h   [h = vertical height (m)]
W against friction = f·d = μ·N·d   []
W = area under the force–displacement graph   [J]</t>
  </si>
  <si>
    <t>• Work done by a force at an angle (pulling a sled with a rope).
• Work done against friction and against gravity on a slope.
• Net work from several forces.
• Work from a force–displacement graph, including a variable force (spring).</t>
  </si>
  <si>
    <t>T1 W = Fd · T2 angled force, work against friction · T3 net work with several forces, graph area for variable force</t>
  </si>
  <si>
    <t>• Work is done when a force is applied without displacement.
• Negative work is impossible.</t>
  </si>
  <si>
    <t>The work–energy theorem and kinetic energy</t>
  </si>
  <si>
    <t>• State the work–energy theorem: the net work done on a body equals the change in its kinetic energy.
• Apply E_k = ½mv² and the theorem to solve motion problems without using kinematic equations.</t>
  </si>
  <si>
    <t>E_k = ½·m·v²   [E_k (J); m (kg); v (m s⁻¹)]
W_net = ΔE_k = ½mv² − ½mu²   [J]
v = √(2·E_k / m)   []</t>
  </si>
  <si>
    <t>• Find final speed after a net force acts over a stated distance.
• Find braking distance from initial speed and friction force.
• Find the work done by a resistive force from the speed loss.
• Compare the work–energy and kinematic approaches to the same problem.</t>
  </si>
  <si>
    <t>T1 E_k calculation · T2 W = ΔE_k single force · T3 several forces, braking with friction, comparison of methods</t>
  </si>
  <si>
    <t>• Define gravitational potential energy near the Earth's surface and calculate E_p = mgh.
• State that only the change in height matters and that the reference level is arbitrary.
• Apply conservation of mechanical energy where non-conservative forces are absent.</t>
  </si>
  <si>
    <t>E_p = m·g·h   [E_p (J); m (kg); g = 9.8 m s⁻²; h (m)]
ΔE_p = m·g·Δh   []
E_k + E_p = constant   [conservation of mechanical energy]
With friction: E_initial = E_final + W_friction   [J]</t>
  </si>
  <si>
    <t>• Speed at the bottom of a frictionless slide or track.
• Height reached by a projectile launched vertically or along a track.
• Roller coaster: speed at any stated point.
• Energy lost to friction on a real slope, and the resulting friction force.
• Pendulum: speed at the lowest point, maximum swing height.</t>
  </si>
  <si>
    <t>T1 E_p direct · T2 energy conservation two-point · T3 friction losses, multi-point tracks, combined with power</t>
  </si>
  <si>
    <t>• Using the distance along a slope instead of the vertical height.
• Assuming mass affects the final speed in a frictionless energy problem (it cancels).</t>
  </si>
  <si>
    <t>Mechanical power</t>
  </si>
  <si>
    <t>• Define power as the rate of doing work or transferring energy; state the SI unit watt.
• Calculate power from work and time, and from force and velocity.
• Calculate efficiency and identify where energy is wasted.</t>
  </si>
  <si>
    <t>P = W / t   [P (W); W (J); t (s)]
P = E / t   []
P = F·v   [for constant velocity; v (m s⁻¹)]
P_average = F·v_average   []
Efficiency η = (useful output / total input) × 100 %   [energies or powers, consistently]
1 hp ≈ 746 W   [where used]</t>
  </si>
  <si>
    <t>• Power output of a motor lifting a load at a stated rate.
• Power needed to maintain a stated speed against a resistive force (P = Fv).
• Efficiency of a motor, pump, or engine from input and output powers.
• Power required to climb stairs or a hill in a stated time.
• Find the maximum speed of a vehicle given engine power and total resistance.</t>
  </si>
  <si>
    <t>T1 P = W/t · T2 P = Fv, efficiency percentage · T3 maximum-speed problems, multi-stage efficiency chains</t>
  </si>
  <si>
    <t>• Efficiency can exceed 100 %.
• Power and energy are interchangeable.</t>
  </si>
  <si>
    <t>engine and motor ratings, pump sizing, elevator design, electric vehicle range, wind turbine output.</t>
  </si>
  <si>
    <t>L4: Static Fluids</t>
  </si>
  <si>
    <t>Air pressure</t>
  </si>
  <si>
    <t>• Explain atmospheric pressure as the weight of the air column above and state its standard value.
• Describe barometers and explain their operation.
• Explain the variation of atmospheric pressure with altitude.</t>
  </si>
  <si>
    <t>Fluid pressure, density and Archimedes' principle</t>
  </si>
  <si>
    <t>• Define density and pressure and apply p = ρgh and p = F/A.
• State Archimedes' principle: the upthrust on a body equals the weight of the fluid it displaces.
• Determine the apparent weight of a submerged body.
• State and apply the law of flotation: a floating body displaces its own weight of fluid.
• Determine whether a body floats, sinks, or is neutrally buoyant by comparing densities.
• Apply Pascal's principle to hydraulic systems.</t>
  </si>
  <si>
    <t>ρ = m / V   [ρ = density (kg m⁻³); m (kg); V (m³)]
p = ρ·g·h   [gauge pressure (Pa)]
p_absolute = p_atm + ρ·g·h   [Pa]
F_upthrust = ρ_fluid·g·V_displaced   [N]
F_upthrust = weight of displaced fluid   [N]
Apparent weight = W_actual − F_upthrust   [N]
Floating: W_object = F_upthrust → ρ_obj·V_obj = ρ_fluid·V_submerged   []
Fraction submerged = ρ_object / ρ_fluid   [dimensionless]
Pascal: F₁/A₁ = F₂/A₂   [N and m²]</t>
  </si>
  <si>
    <t>• Find the pressure and force at a stated depth (submarine hull, dam wall).
• Find the upthrust on a fully or partially submerged object.
• Find the apparent weight of a body weighed in water.
• Determine the fraction of an iceberg or a floating block that is submerged.
• Find the density of an irregular object from its weight in air and in water.
• Determine whether an object floats or sinks in a stated fluid.
• Hydraulic press force multiplication and work conservation.
• Find the maximum load a floating raft can carry before sinking.</t>
  </si>
  <si>
    <t>T1 ρ = m/V, p = ρgh · T2 upthrust and apparent weight · T3 fraction-submerged, density-from-weighings, load-capacity and hydraulic design</t>
  </si>
  <si>
    <t>• Upthrust depends on the depth of submersion (it depends on the volume displaced, not the depth, for a fully submerged body).
• Heavier objects always sink (it is *density*, not weight, that determines flotation).
• A floating object experiences less upthrust than a sunken one of the same size.</t>
  </si>
  <si>
    <t>ship design and Plimsoll lines, submarine ballast tanks, hydrometers, hot-air balloons, hydraulic brakes and lifts.</t>
  </si>
  <si>
    <t>ρ_water = 1000 kg m⁻³ · ρ_seawater ≈ 1030 · ρ_ice = 917 · ρ_mercury = 13 600</t>
  </si>
  <si>
    <t>PH7.3.2.2, PH8.2.1.3</t>
  </si>
  <si>
    <t>Ch2: Thermodynamics</t>
  </si>
  <si>
    <t>L1: Temperature and Heat</t>
  </si>
  <si>
    <t>Temperature and heat</t>
  </si>
  <si>
    <t>• Define temperature as a measure of the average kinetic energy of particles, and heat as energy transferred because of a temperature difference.
• State the zeroth law of thermodynamics and the meaning of thermal equilibrium.
• Explain that heat flows spontaneously from higher to lower temperature.</t>
  </si>
  <si>
    <t>• Temperature measures the total energy of a body rather than the average kinetic energy per particle.</t>
  </si>
  <si>
    <t>Temperature scales</t>
  </si>
  <si>
    <t>• Convert between Celsius, Kelvin, and Fahrenheit.
• Explain the absolute (Kelvin) scale and the physical meaning of absolute zero (0 K = −273.15 °C).
• Explain why the Kelvin scale is used in gas law calculations.</t>
  </si>
  <si>
    <t>T(K) = θ(°C) + 273.15   []
θ(°F) = (9/5)θ(°C) + 32   []
θ(°C) = (5/9)[θ(°F) − 32]   []
ΔT(K) = Δθ(°C)   []</t>
  </si>
  <si>
    <t>• Convert a temperature between any pair of the three scales.
• Convert a temperature *change* correctly between °C and K.
• Find the temperature at which two scales give the same reading.
• Explain why kelvin must be used in gas law and Carnot efficiency calculations.</t>
  </si>
  <si>
    <t>L3: Heat</t>
  </si>
  <si>
    <t>Quantity of heat, specific heat capacity and heat capacity</t>
  </si>
  <si>
    <t>• Define and calculate specific heat capacity and heat capacity.
• Apply Q = mcΔθ to heating, cooling, and mixing problems.
• Perform calorimetry calculations including the thermal capacity of the calorimeter.
• Apply the principle of conservation of energy: heat lost by the hot body equals heat gained by the cold body.</t>
  </si>
  <si>
    <t>Q = m·c·Δθ   [Q (J); m (kg); c (J kg⁻¹ K⁻¹); Δθ (K)]
C = m·c ; Q = C·Δθ   [C = heat capacity (J K⁻¹)]
Method of mixtures: m₁c₁(θ₁ − θ_f) = m₂c₂(θ_f − θ₂)   [θ_f = final common temperature]
With calorimeter: m₁c₁(θ₁ − θ_f) = (m₂c₂ + C_cal)(θ_f − θ₂)   [C_cal = calorimeter heat capacity (J K⁻¹)]
Electrical heating: V·I·t = m·c·Δθ (ideal)   []</t>
  </si>
  <si>
    <t>• Find Q, m, c, or Δθ by rearrangement.
• Method of mixtures: find the final temperature when two bodies at different temperatures are mixed.
• Find the specific heat capacity of a metal by the method of mixtures.
• Calorimetry with the calorimeter's own heat capacity included.
• Electrical heating: find heating time, power, or efficiency.
• Multi-substance mixing (three bodies).</t>
  </si>
  <si>
    <t>T1 direct Q = mcΔθ · T2 two-body mixing, unit conversion · T3 calorimeter correction, efficiency, three-body mixing</t>
  </si>
  <si>
    <t>• Using final temperature instead of temperature change.
• Ignoring the calorimeter in an energy balance.
• Setting up the mixing equation with incorrect signs (both sides must be positive quantities).</t>
  </si>
  <si>
    <t>PH7.1.2.1, PH9.3.1.4</t>
  </si>
  <si>
    <t>PH10.2.2.2</t>
  </si>
  <si>
    <t>Latent heat</t>
  </si>
  <si>
    <t>• Define latent heat as the energy absorbed or released during a change of state at constant temperature.
• Define specific latent heat of fusion and of vaporisation and apply Q = mL.
• Interpret a heating (temperature–time) curve and identify the plateaus as changes of state.
• Explain why temperature stays constant during a change of state (energy goes to breaking intermolecular bonds, not increasing kinetic energy).
• Solve multi-stage problems combining sensible heat and latent heat.</t>
  </si>
  <si>
    <t>Q = m·L   [Q (J); m (kg); L = specific latent heat (J kg⁻¹)]
Q = m·L_f   [fusion (melting/freezing)]
Q = m·L_v   [vaporisation (boiling/condensing)]
Multi-stage: Q_total = m·c₁·Δθ₁ + m·L_f + m·c₂·Δθ₂ + m·L_v + ...   [J]</t>
  </si>
  <si>
    <t>• Find the energy to melt or vaporise a stated mass.
• Multi-stage: ice at −10 °C → water → steam at 110 °C, find total energy.
• Find the mass of ice that can be melted by a stated energy input.
• Find the final temperature when ice is added to warm water (check whether all the ice melts).
• Interpret a heating curve: identify melting and boiling points and find L from the plateau lengths.
• Explain why steam burns are worse than boiling-water burns.</t>
  </si>
  <si>
    <t>T1 Q = mL single stage · T2 two-stage (heat then melt) · T3 full multi-stage, "does all the ice melt?" decision problems, heating-curve analysis</t>
  </si>
  <si>
    <t>• Temperature rises during melting or boiling.
• Latent heat of vaporisation and fusion are similar in size (L_v is about 7× larger for water).
• Assuming all added ice melts without checking the available energy.</t>
  </si>
  <si>
    <t>refrigeration and heat pumps, steam power plants, evaporative cooling, cooling with ice packs, phase-change thermal storage.</t>
  </si>
  <si>
    <t>water: L_f = 3.34 × 10⁵ J kg⁻¹ · L_v = 2.26 × 10⁶ J kg⁻¹ · c_ice ≈ 2100 · c_water = 4200 · c_steam ≈ 2000 J kg⁻¹ K⁻¹</t>
  </si>
  <si>
    <t>PH10.3.1.1</t>
  </si>
  <si>
    <t>Ch3: Electricity and Magnetism</t>
  </si>
  <si>
    <t>L1: Electrostatics</t>
  </si>
  <si>
    <t>Electric charge and conservation of charge</t>
  </si>
  <si>
    <t>• State that charge is quantised in units of e = 1.6 × 10⁻¹⁹ C and comes in two kinds.
• State the law of conservation of charge: charge is never created or destroyed, only transferred.
• Calculate charge from a number of elementary charges.</t>
  </si>
  <si>
    <t>Q = n·e   [Q (C); n = integer; e = 1.6 × 10⁻¹⁹ C]
Σ Q_before = Σ Q_after   [conservation of charge]</t>
  </si>
  <si>
    <t>• Find the charge from a stated number of transferred electrons.
• Find the number of electrons in a stated charge.
• Two identical spheres touched together: find the final charge on each (charge shares equally).</t>
  </si>
  <si>
    <t>T1 Q = ne · T2 standard-form manipulation · T3 charge-sharing between spheres</t>
  </si>
  <si>
    <t>PH11.5.1</t>
  </si>
  <si>
    <t>PH10.3.1.2</t>
  </si>
  <si>
    <t>Charging by rubbing (friction)</t>
  </si>
  <si>
    <t>• Explain charging by friction as electron transfer between materials, and use a triboelectric series to predict the sign acquired by each.
• Explain why both bodies acquire equal and opposite charges.</t>
  </si>
  <si>
    <t>PH10.3.1.3, PH10.3.1.4</t>
  </si>
  <si>
    <t>PH10.3.1.3</t>
  </si>
  <si>
    <t>Charging by conduction (contact)</t>
  </si>
  <si>
    <t>• Explain charging by conduction and state that the charged body and the target acquire the *same* sign.
• Explain charge sharing between conductors in contact.</t>
  </si>
  <si>
    <t>PH7.2.1.2, PH10.3.1.2</t>
  </si>
  <si>
    <t>PH10.3.1.4</t>
  </si>
  <si>
    <t>Charging by induction</t>
  </si>
  <si>
    <t>• Describe the full sequence of charging by induction, including the role of earthing.
• Explain why the induced charge is *opposite* in sign to the inducing charge.
• Explain the attraction of neutral objects by polarisation.</t>
  </si>
  <si>
    <t>• Order the steps of induction correctly.
• Determine the final charge sign for a stated inducing charge.
• Explain why the rod is not discharged during induction.</t>
  </si>
  <si>
    <t>PH7.2.1.2, PH10.3.1.2, PH10.3.1.3</t>
  </si>
  <si>
    <t>PH10.3.1.5</t>
  </si>
  <si>
    <t>Distribution of charge on the surfaces of conductors</t>
  </si>
  <si>
    <t>• State that excess charge on a conductor resides entirely on its outer surface.
• Explain that charge density is greatest where the curvature is greatest (sharp points) and describe the resulting action of points / corona discharge.
• Describe the Faraday cage / electrostatic shielding and its applications.</t>
  </si>
  <si>
    <t>• Predict where charge concentrates on a stated conductor shape.
• Explain shielding inside a car during a lightning strike.</t>
  </si>
  <si>
    <t>PH10.3.1.6</t>
  </si>
  <si>
    <t>Thunderstorms, lightning and lightning rods</t>
  </si>
  <si>
    <t>• Explain charge separation in a thundercloud and the resulting potential difference.
• Explain how a lightning rod protects a building (action of points plus a safe conducting path to earth).
• State safety rules during a thunderstorm and justify each physically.</t>
  </si>
  <si>
    <t>PH10.3.1.7</t>
  </si>
  <si>
    <t>Applications of electrostatics</t>
  </si>
  <si>
    <t>• Explain the operation of the electrostatic precipitator, electrostatic spray painting, the photocopier, the laser printer, and the inkjet printer.</t>
  </si>
  <si>
    <t>T2 device explanation · T3 multi-stage process analysis</t>
  </si>
  <si>
    <t>industrial emission control, automotive paint finishing, document reproduction, electrostatic discharge protection in electronics manufacturing.</t>
  </si>
  <si>
    <t>PH10.3.2.1</t>
  </si>
  <si>
    <t>L2: DC Current and Resistor Networks</t>
  </si>
  <si>
    <t>Electric current and its SI unit</t>
  </si>
  <si>
    <t>• Define electric current as the rate of flow of charge and the ampere as one coulomb per second.
• Apply I = Q/t with unit conversions.</t>
  </si>
  <si>
    <t>I = Q / t   [I (A); Q (C); t (s)]
Q = I·t   []
1 A = 1 C s⁻¹   []</t>
  </si>
  <si>
    <t>• Find the charge that flows for a stated current and time.
• Find the current from a stated charge and time.
• Find the time for a stated charge to flow.
• Convert times given in minutes or hours to seconds before substituting.</t>
  </si>
  <si>
    <t>PH10.3.2.2</t>
  </si>
  <si>
    <t>What charges flow round a circuit?</t>
  </si>
  <si>
    <t>• Identify the mobile charge carriers in metals (free electrons), in electrolytes (positive and negative ions), and in gases (ions and electrons).
• Distinguish conventional current from electron flow.</t>
  </si>
  <si>
    <t>PH10.3.2.3</t>
  </si>
  <si>
    <t>Calculating the number of electrons passing a point</t>
  </si>
  <si>
    <t>• Combine I = Q/t with Q = ne to find the number of electrons passing a point in a stated time.</t>
  </si>
  <si>
    <t>n = Q / e = (I·t) / e   [n = number of electrons; e = 1.6 × 10⁻¹⁹ C]
I = n·e / t   []</t>
  </si>
  <si>
    <t>• Find the number of electrons passing a point for a stated current and time.
• Find the current from a stated electron flow rate.
• Find the time for a stated number of electrons to pass.</t>
  </si>
  <si>
    <t>T1 given Q, find n · T2 chain I·t → Q → n · T3 standard-form arithmetic, rate problems</t>
  </si>
  <si>
    <t>• Forgetting to convert time to seconds.
• Errors handling 10⁻¹⁹ in standard form.</t>
  </si>
  <si>
    <t>PH10.3.2.4</t>
  </si>
  <si>
    <t>Electric charges in a metallic conductor (drift velocity)</t>
  </si>
  <si>
    <t>• Describe the free-electron model of a metal and the random thermal motion superposed with a slow drift under an applied field.
• State that drift velocity is very small (of order mm s⁻¹) while the electric field propagates near the speed of light.
• Apply I = nAve where taught.</t>
  </si>
  <si>
    <t>I = n·A·v·e   [n = number density of carriers (m⁻³); A = cross-sectional area (m²); v = drift velocity (m s⁻¹); e = 1.6 × 10⁻¹⁹ C]</t>
  </si>
  <si>
    <t>• Find the drift velocity from I, n, A, and e.
• Find the current from a stated drift velocity and wire cross-section.
• Explain why a lamp lights almost instantly despite a very small drift velocity.</t>
  </si>
  <si>
    <t>• Electrons travel from the battery to the lamp at the speed of light before the lamp lights.</t>
  </si>
  <si>
    <t>PH10.3.2.5</t>
  </si>
  <si>
    <t>Electric energy from chemicals (cells)</t>
  </si>
  <si>
    <t>• Describe the simple cell and how chemical energy is converted to electrical energy.
• Distinguish primary from secondary (rechargeable) cells.
• Define e.m.f. and internal resistance and apply the terminal-p.d. relation where taught.</t>
  </si>
  <si>
    <t>ε = I(R + r)   [ε = e.m.f. (V); R = external resistance (Ω); r = internal resistance (Ω)]
V_terminal = ε − I·r   [V]</t>
  </si>
  <si>
    <t>• Find the terminal p.d. for a stated current and internal resistance.
• Find internal resistance from two sets of (V, I) readings.</t>
  </si>
  <si>
    <t>PH10.3.2.6</t>
  </si>
  <si>
    <t>Constructing and drawing electric circuits</t>
  </si>
  <si>
    <t>• Draw and interpret circuit diagrams using standard symbols with correct meter placement.
• Translate between a physical circuit and a circuit diagram.</t>
  </si>
  <si>
    <t>Combinations of resistors</t>
  </si>
  <si>
    <t>• Derive and apply the series and parallel resistance formulae.
• Reduce a mixed series–parallel network to a single equivalent resistance.
• Calculate the current through and voltage across every element in a network.
• Apply the potential-divider formula.</t>
  </si>
  <si>
    <t>V = I·R   [Ohm's law]
Series: R_s = R₁ + R₂ + ... + Rₙ   [Ω]
Parallel: 1/R_p = 1/R₁ + 1/R₂ + ... + 1/Rₙ   [Ω]
Two in parallel: R_p = R₁R₂/(R₁ + R₂)   []
n equal resistors in parallel: R_p = R/n   []
Potential divider: V_out = V_in × R₂/(R₁ + R₂)   [V]
Current divider (two branches): I₁ = I_total × R₂/(R₁ + R₂)   [A]
P = V·I = I²R = V²/R   [W]</t>
  </si>
  <si>
    <t>• Reduce a network of three to six resistors step by step to a single equivalent.
• Find the total current and the current in every branch.
• Find the p.d. across each element.
• Find an unknown resistance given a measured total resistance or branch current.
• Potential divider with a fixed resistor and a thermistor or LDR: find V_out as conditions change.
• Find the power dissipated in each resistor and identify the largest.
• Design a network with a target equivalent resistance from available components.</t>
  </si>
  <si>
    <t>T1 two-resistor combination · T2 three-resistor mixed network, potential divider · T3 four-or-more-element reduction with full current/voltage/power analysis, design problems</t>
  </si>
  <si>
    <t>• Adding parallel resistances directly, or failing to invert 1/R_p.
• Assuming equal current in every branch of a parallel network.
• Applying series rules to a parallel section.</t>
  </si>
  <si>
    <t>sensor circuits (thermostat, light-activated switch), voltage regulation, LED current limiting, potentiometers and volume controls.</t>
  </si>
  <si>
    <t>PH7.2.4.5, PH8.2.4.3</t>
  </si>
  <si>
    <t>PH10.3.3.1</t>
  </si>
  <si>
    <t>L3: Magnetic Field</t>
  </si>
  <si>
    <t>Magnetic field due to a current in a straight wire</t>
  </si>
  <si>
    <t>• Describe the concentric circular field pattern and apply the right-hand grip rule.
• Calculate the field strength at a stated distance from a long straight wire.
• Determine the resultant field from two parallel wires.</t>
  </si>
  <si>
    <t>B = μ₀·I / (2π·r)   [B = magnetic flux density (T); μ₀ = 4π × 10⁻⁷ T m A⁻¹; I = current (A); r = perpendicular distance (m)]</t>
  </si>
  <si>
    <t>• Find B at a stated distance from a wire carrying a stated current.
• Find the current needed for a stated field.
• Find the distance at which B has a stated value.
• Find the resultant field midway between two parallel wires (currents in the same or opposite directions).
• Find the point where the resultant field is zero.</t>
  </si>
  <si>
    <t>T1 direct substitution · T2 rearrangement, standard form · T3 two-wire resultant, zero-field location</t>
  </si>
  <si>
    <t>• Treating B as inversely proportional to r² (it goes as 1/r for a straight wire).
• Adding fields from two wires as scalars without considering direction.</t>
  </si>
  <si>
    <t>PH12.5.2</t>
  </si>
  <si>
    <t>PH10.3.3.2</t>
  </si>
  <si>
    <t>Magnetic field due to a current in a circular loop</t>
  </si>
  <si>
    <t>• Describe the field pattern of a circular loop and identify its poles.
• Calculate the field at the centre of a circular loop or coil of N turns.</t>
  </si>
  <si>
    <t>B = μ₀·I / (2·R)   [at the centre of a single loop; R = loop radius (m)]
B = μ₀·N·I / (2·R)   [for a coil of N turns]</t>
  </si>
  <si>
    <t>• Find B at the centre for stated I, R, and N.
• Find the number of turns needed for a target field.
• Compare the field at the centre of a loop with that near a straight wire.</t>
  </si>
  <si>
    <t>PH10.3.3.3</t>
  </si>
  <si>
    <t>Magnetic field due to a current in a solenoid</t>
  </si>
  <si>
    <t>• Describe the uniform field inside a long solenoid and identify its poles using the right-hand grip rule.
• Calculate the field inside a solenoid from the turns per unit length.</t>
  </si>
  <si>
    <t>B = μ₀·n·I   [n = turns per unit length (m⁻¹)]
n = N / L   [N = total turns; L = solenoid length (m)]
B = μ₀·N·I / L   []</t>
  </si>
  <si>
    <t>• Find B inside a solenoid from N, L, and I.
• Find the current or number of turns needed for a target field.
• Compare fields inside solenoids of different lengths but the same turns.</t>
  </si>
  <si>
    <t>T1 direct · T2 n = N/L conversion · T3 design-for-target-field, comparison problems</t>
  </si>
  <si>
    <t>• Using the total number of turns instead of turns per unit length.
• Believing the field depends on the solenoid's radius (for a long solenoid it does not).</t>
  </si>
  <si>
    <t>MRI scanners, solenoid valves and actuators, relays, particle accelerator magnets, magnetic separators.</t>
  </si>
  <si>
    <t>PH12.5.3</t>
  </si>
  <si>
    <t>PH10.3.4.1</t>
  </si>
  <si>
    <t>L4: Alternating Current</t>
  </si>
  <si>
    <t>What is alternating current?</t>
  </si>
  <si>
    <t>• Define alternating current as current that periodically reverses direction.
• Sketch and interpret a sinusoidal AC waveform.</t>
  </si>
  <si>
    <t>PH10.3.4.2</t>
  </si>
  <si>
    <t>Alternating current vs direct current</t>
  </si>
  <si>
    <t>• Compare AC and DC in terms of direction, waveform, generation, and transmission.
• State the advantage of AC for transmission (transformers allow voltage change) and of DC for electronics and batteries.</t>
  </si>
  <si>
    <t>PH10.3.4.3</t>
  </si>
  <si>
    <t>AC alternators</t>
  </si>
  <si>
    <t>• Describe the construction and operation of an AC generator (alternator) with slip rings.
• Relate the induced e.m.f. to the rate of change of flux and the coil orientation.
• State the factors affecting peak e.m.f.: number of turns, coil area, field strength, rotation speed.</t>
  </si>
  <si>
    <t>PH12.6.4</t>
  </si>
  <si>
    <t>PH10.3.4.4</t>
  </si>
  <si>
    <t>AC waveforms; peak and r.m.s. values</t>
  </si>
  <si>
    <t>• Identify peak value, peak-to-peak value, and r.m.s. value on a waveform.
• Convert between peak and r.m.s. values for a sinusoidal supply.
• Explain why r.m.s. values are used for AC power calculations.</t>
  </si>
  <si>
    <t>V_rms = V_peak / √2 ≈ 0.707·V_peak   [volts (V)]
I_rms = I_peak / √2   [amperes (A)]
V_peak = √2 · V_rms   []
V_peak-to-peak = 2·V_peak   []
P_average = V_rms · I_rms   [W]</t>
  </si>
  <si>
    <t>• Convert between peak and r.m.s. values.
• Find the peak voltage of a stated mains supply.
• Find the average power from r.m.s. values.
• Read peak and period from an oscilloscope trace and calculate r.m.s. voltage and frequency.</t>
  </si>
  <si>
    <t>T1 direct conversion · T2 oscilloscope trace reading · T3 combined power and waveform analysis</t>
  </si>
  <si>
    <t>• The stated mains voltage is the peak voltage (it is the r.m.s. value).</t>
  </si>
  <si>
    <t>PH12.7.1</t>
  </si>
  <si>
    <t>PH10.3.4.5</t>
  </si>
  <si>
    <t>Period and frequency</t>
  </si>
  <si>
    <t>• Define period and frequency for an AC supply and convert between them.
• Determine frequency from an oscilloscope trace given the time-base setting.</t>
  </si>
  <si>
    <t>f = 1 / T   [f (Hz); T (s)]
T = 1 / f   []
ω = 2π·f   [angular frequency (rad s⁻¹)]
On an oscilloscope: T = (divisions per cycle) × (time-base setting)   [s]</t>
  </si>
  <si>
    <t>• Convert between period and frequency.
• Find the frequency from an oscilloscope trace and its time-base setting.
• Find the angular frequency from the frequency.
• Find the number of cycles in a stated time interval.</t>
  </si>
  <si>
    <t>PH10.3.4.6</t>
  </si>
  <si>
    <t>Transformers</t>
  </si>
  <si>
    <t>• Explain transformer operation via mutual induction and a changing magnetic flux.
• Apply the turns-ratio equation and the ideal power relation.
• Explain why transformers do not work with DC.
• Explain energy losses in a real transformer (eddy currents, hysteresis, copper losses, flux leakage) and the design features that reduce each.
• Explain the role of transformers in high-voltage power transmission.</t>
  </si>
  <si>
    <t>V_s / V_p = N_s / N_p   [volts and turns]
Ideal: V_p·I_p = V_s·I_s   [W]
I_s / I_p = N_p / N_s   []
Efficiency = (P_out / P_in) × 100 %   []
Transmission loss: P_loss = I²·R   [W]</t>
  </si>
  <si>
    <t>• Find the secondary voltage, current, or turns for an ideal transformer.
• Find the efficiency of a real transformer from input and output powers.
• Compare transmission losses at two different voltages.
• Design a transformer for a stated voltage conversion.</t>
  </si>
  <si>
    <t>T1 turns ratio · T2 current relation, efficiency · T3 transmission-loss comparison, multi-stage grid problems</t>
  </si>
  <si>
    <t>• A transformer can increase power.
• A transformer works with a steady DC input.</t>
  </si>
  <si>
    <t>the national grid, phone chargers, welding transformers, substation design.</t>
  </si>
  <si>
    <t>PH12.7.6</t>
  </si>
  <si>
    <t>PH10.4.1.1</t>
  </si>
  <si>
    <t>Ch4: Optics</t>
  </si>
  <si>
    <t>L1: Refraction of Light</t>
  </si>
  <si>
    <t>Refraction of light</t>
  </si>
  <si>
    <t>• Explain refraction as a change in the direction of light caused by a change in speed at a boundary.
• State that frequency is unchanged on refraction while wavelength and speed change.</t>
  </si>
  <si>
    <t>n = c / v   [n = refractive index; c = 3.0 × 10⁸ m s⁻¹; v = speed in medium (m s⁻¹)]
λ_medium = λ_vacuum / n   [wavelength in the medium (m)]
f is constant across the boundary   [Hz]</t>
  </si>
  <si>
    <t>• Find the speed of light in a medium from its refractive index.
• Find the refractive index from the speed in the medium.
• Find the wavelength of light inside a medium given its vacuum wavelength.
• Explain why the frequency is unchanged while wavelength and speed change.</t>
  </si>
  <si>
    <t>• Frequency changes on entering a new medium (it does not; the wavelength does).</t>
  </si>
  <si>
    <t>The law of refraction (Snell's law)</t>
  </si>
  <si>
    <t>• State and apply Snell's law in both single-medium and general two-medium forms.
• Calculate refractive index, angles, and speeds.
• Determine the critical angle and identify total internal reflection.
• Trace rays through rectangular blocks, prisms, and optical fibres.</t>
  </si>
  <si>
    <t>n₁·sin θ₁ = n₂·sin θ₂   [angles from the normal (degrees)]
n = sin i / sin r   [air to medium]
n = c / v   []
n₁/n₂ = v₂/v₁ = λ₂/λ₁   []
sin C = n₂ / n₁ (n₁ &gt; n₂)   [C = critical angle]
sin C = 1 / n   [medium to air]</t>
  </si>
  <si>
    <t>• Find the angle of refraction from i and n, or i from r and n.
• Find n from measured angles or from the speed in the medium.
• Find the critical angle for a stated medium pair.
• Determine whether TIR occurs at a stated angle.
• Trace a ray through a rectangular glass block and find the lateral displacement.
• Multi-boundary problems (air → glass → water).
• Optical fibre: find the maximum acceptance angle where taught.</t>
  </si>
  <si>
    <t>T1 direct Snell · T2 rearrangement, critical angle · T3 multi-boundary tracing, lateral displacement, TIR decisions</t>
  </si>
  <si>
    <t>fibre-optic communications, endoscopy, prism binoculars, anti-reflective coatings, gemstone cutting.</t>
  </si>
  <si>
    <t>PH10.4.2.1</t>
  </si>
  <si>
    <t>L2: Thin Lenses</t>
  </si>
  <si>
    <t>Types of lens</t>
  </si>
  <si>
    <t>• Classify lenses as converging (biconvex, plano-convex, concavo-convex) or diverging (biconcave, plano-concave, convexo-concave).
• Identify the optical centre, principal axis, principal focus, and focal length.</t>
  </si>
  <si>
    <t>PH10.4.2.2</t>
  </si>
  <si>
    <t>Characteristics of lenses and image formation</t>
  </si>
  <si>
    <t>• Construct ray diagrams for converging and diverging lenses using the standard construction rays.
• Determine image characteristics for all standard object positions.
• Explain the operation of the camera, projector, magnifying glass, microscope, and telescope in terms of lens configuration.</t>
  </si>
  <si>
    <t>T1 image nature · T2 ray diagram · T3 instrument analysis, two-lens systems</t>
  </si>
  <si>
    <t>The thin-lens equation</t>
  </si>
  <si>
    <t>• Apply the thin-lens equation and the magnification formula with consistent sign conventions.
• Calculate lens power in dioptres.
• Solve inverse problems (find the object position for a required magnification).</t>
  </si>
  <si>
    <t>1/f = 1/u + 1/v   [consistent units throughout (all m or all cm)]
m = h_i / h_o = −v / u   [m = magnification; negative m means inverted]
P = 1 / f   [P = power (D); f in metres]
f &gt; 0 for converging, f &lt; 0 for diverging   [sign convention]
Two lenses in contact: 1/f_total = 1/f₁ + 1/f₂ ; P_total = P₁ + P₂   []</t>
  </si>
  <si>
    <t>• Find v given u and f; find u given v and f; find f given u and v.
• Find magnification and image height.
• Determine image nature from the signs of v and m.
• Find the object distance for a stated magnification (projector or camera setup).
• Find the lens power needed to correct a stated vision defect.
• Two-lens system: image of the first lens becomes the object of the second.</t>
  </si>
  <si>
    <t>T1 direct · T2 rearrangement, magnification · T3 inverse design problems, two-lens systems, vision correction</t>
  </si>
  <si>
    <t>• Adding u and v rather than their reciprocals.
• Ignoring the sign convention and reporting a virtual image as real.
• Confusing focal length with the object or image distance.</t>
  </si>
  <si>
    <t>camera and smartphone optics, spectacle prescriptions, microscopes and telescopes, projectors, laser optics.</t>
  </si>
  <si>
    <t>Ch5: Static Electricity</t>
  </si>
  <si>
    <t>Electric charge and charged objects</t>
  </si>
  <si>
    <t>• State the properties of electric charge: two kinds, quantised, conserved.
• Distinguish conductors, insulators, and semiconductors by their free-charge availability, and give examples of each.
• Describe charging by friction, conduction, and induction, and explain the resulting sign in each case.
• Explain polarisation of a neutral object by a nearby charge.</t>
  </si>
  <si>
    <t>Q = n·e   [Q (C); e = 1.6 × 10⁻¹⁹ C]
Charge sharing between identical spheres: Q_each = (Q₁ + Q₂)/2   [C]</t>
  </si>
  <si>
    <t>• Find charge from electron count and vice versa.
• Determine final charges after identical spheres touch and separate.
• Classify materials and predict charging outcomes.</t>
  </si>
  <si>
    <t>PH7.2.1.1, PH10.3.1.1</t>
  </si>
  <si>
    <t>PH11.5.2</t>
  </si>
  <si>
    <t>Electric force and Coulomb's law</t>
  </si>
  <si>
    <t>• State Coulomb's law and apply it to find the force between point charges.
• Recognise the inverse-square dependence and the effect of the medium (permittivity).
• Find the resultant force on a charge from two or more other charges, using vector addition.
• Compare the electrostatic and gravitational forces between two charged particles.</t>
  </si>
  <si>
    <t>F = k·   [q₁·q₂]
k = 1 / (4π·ε₀)   [ε₀ = 8.85 × 10⁻¹² C² N⁻¹ m⁻² (permittivity of free space)]
F = q₁q₂ / (4π·ε₀·r²)   []
In a medium: F = q₁q₂ / (4π·ε₀·ε_r·r²)   [ε_r = relative permittivity (dimensionless)]
Resultant of two forces at angle θ: F_R = √(F₁² + F₂² + 2F₁F₂cos θ)   [N]
Perpendicular: F_R = √(F₁² + F₂²)   [N]</t>
  </si>
  <si>
    <t>• Find the force between two point charges at a stated separation.
• Find the separation for a stated force, or the charge for a stated force.
• Determine the effect on F of doubling a charge or halving the separation (ratio reasoning).
• Resultant force on a charge from two collinear charges.
• Resultant force on a charge from two charges at right angles or at a general angle (triangle configurations).
• Find the point on a line where the net force on a test charge is zero.
• Compare the Coulomb and gravitational forces between two protons or two electrons.
• Equilibrium of a suspended charged pendulum ball (combining tension, weight, and Coulomb force).</t>
  </si>
  <si>
    <t>T1 direct two-charge substitution · T2 rearrangement, ratio reasoning, collinear resultants · T3 two-dimensional vector resultants, zero-force point, suspended-ball equilibrium</t>
  </si>
  <si>
    <t>• Treating force as inversely proportional to r rather than r².
• Adding force magnitudes without regard to direction.
• Including the sign of the charges in the magnitude formula rather than using signs only to determine direction.</t>
  </si>
  <si>
    <t>electrostatic precipitators, ink-jet droplet steering, particle traps, molecular bonding, MEMS actuators.</t>
  </si>
  <si>
    <t>PH11.6.1</t>
  </si>
  <si>
    <t>Ch6: Electric Field</t>
  </si>
  <si>
    <t>Creating and measuring electric fields</t>
  </si>
  <si>
    <t>• Define electric field strength as force per unit positive test charge; state the SI unit N C⁻¹ (equivalently V m⁻¹).
• Calculate the field due to a point charge and the force on a charge placed in a field.
• Explain the concept of a field as a region where a charge experiences a force.</t>
  </si>
  <si>
    <t>E = F / q   [E = electric field strength (N C⁻¹ or V m⁻¹); F (N); q = test charge (C)]
F = q·E   [N]
E = k·   [Q]
E = Q / (4π·ε₀·r²)   []</t>
  </si>
  <si>
    <t>• Find E at a stated distance from a point charge.
• Find the force on a charge placed at a point of known field.
• Find the charge producing a stated field at a stated distance.
• Find the acceleration of a charged particle in a uniform field (combining F = qE with F = ma).</t>
  </si>
  <si>
    <t>T1 direct · T2 rearrangement, F = qE = ma chain · T3 field-and-motion combined problems</t>
  </si>
  <si>
    <t>• Confusing E (field) with F (force) or with V (potential).
• Believing the field depends on the test charge placed in it.</t>
  </si>
  <si>
    <t>PH11.6.2</t>
  </si>
  <si>
    <t>Picturing the electric field (field lines)</t>
  </si>
  <si>
    <t>• Draw and interpret electric field line patterns for an isolated positive charge, an isolated negative charge, two like charges, two unlike charges (dipole), and a pair of parallel charged plates.
• State the rules for field lines: start on positive, end on negative, never cross, density indicates strength, tangent gives direction.
• Identify neutral (zero-field) points from a field pattern.
• Determine the resultant field at a point due to two or more charges by vector addition.</t>
  </si>
  <si>
    <t>Resultant of two fields: E_R = √(E₁² + E₂² + 2E₁E₂cos θ)   [N C⁻¹]
Collinear: E_R = E₁ ± E₂ (signs by direction)   []</t>
  </si>
  <si>
    <t>• Sketch or identify the field pattern for a stated charge configuration.
• Find the resultant field at a point midway between or off-axis from two charges.
• Find the neutral point between two charges (where E = 0).
• Identify errors in a given field-line diagram.</t>
  </si>
  <si>
    <t>T1 pattern identification · T2 collinear resultant · T3 two-dimensional vector resultant, neutral-point location</t>
  </si>
  <si>
    <t>• Field lines can cross (they cannot — the field has one direction at each point).
• Field lines are physical objects rather than a representation.</t>
  </si>
  <si>
    <t>PH11.6.3</t>
  </si>
  <si>
    <t>Applications of electric fields</t>
  </si>
  <si>
    <t>• Describe the uniform field between parallel plates and calculate E from V and d.
• Analyse the motion of a charged particle in a uniform field (parallel and perpendicular entry).
• Explain electrostatic shielding, the ink-jet printer, the cathode-ray tube, and the Millikan oil-drop experiment where taught.</t>
  </si>
  <si>
    <t>E = V / d   [uniform field between plates; V (V); d = plate separation (m)]
F = q·E = q·V/d   [N]
a = q·E / m   [acceleration of a charged particle (m s⁻²)]
Deflection: y = ½·a·t² with t = L/v_x   [projectile-like motion in the field]
Millikan: q·E = m·g → q = m·g·d / V   [balanced oil drop]</t>
  </si>
  <si>
    <t>• Find E between plates from V and d.
• Find the force and acceleration on an electron in a uniform field.
• Find the deflection of an electron beam crossing a parallel-plate region.
• Find the charge on a balanced oil drop.</t>
  </si>
  <si>
    <t>T1 E = V/d · T2 F = qE, a = qE/m · T3 deflection (projectile analogue), Millikan balance</t>
  </si>
  <si>
    <t>PH11.6.4</t>
  </si>
  <si>
    <t>Energy and electric potential</t>
  </si>
  <si>
    <t>• Define electric potential as potential energy per unit charge and potential difference as work done per unit charge.
• Calculate the work done moving a charge between two points.
• Calculate the potential due to a point charge (a scalar — add algebraically).
• Relate the kinetic energy gained by an accelerated charge to the accelerating p.d.
• Define and use the electronvolt.</t>
  </si>
  <si>
    <t>V = W / q   [V = potential (V); W = work (J); q = charge (C)]
W = q·V   [J]
V = k·Q / r   [potential due to a point charge (V) — a scalar, sum algebraically]
E_p = k·q₁q₂ / r   [electric potential energy of a pair (J)]
½·m·v² = q·V   [kinetic energy gained by an accelerated charge]
v = √(2·q·V / m)   [m s⁻¹]
1 eV = 1.6 × 10⁻¹⁹ J   [electronvolt]</t>
  </si>
  <si>
    <t>• Find the work done to move a charge through a stated p.d.
• Find the speed of an electron accelerated through a stated voltage.
• Find the potential at a point due to two or more charges (scalar sum).
• Find the potential energy of a two-charge system.
• Convert between joules and electronvolts.</t>
  </si>
  <si>
    <t>T1 W = qV · T2 accelerated-charge speed, eV conversion · T3 multi-charge potential sums, energy-conservation problems</t>
  </si>
  <si>
    <t>• Adding potentials as vectors (potential is a scalar).
• Confusing potential V (J C⁻¹) with potential energy E_p (J).
• Confusing field E (a vector, ∝ 1/r²) with potential V (a scalar, ∝ 1/r).</t>
  </si>
  <si>
    <t>PH11.6.5</t>
  </si>
  <si>
    <t>Electric potential in a uniform field</t>
  </si>
  <si>
    <t>• Relate field strength and potential gradient in a uniform field: E = V/d.
• Calculate the work done moving a charge parallel and perpendicular to a uniform field.</t>
  </si>
  <si>
    <t>E = V / d = −ΔV/Δx   [N C⁻¹ = V m⁻¹]
W = q·E·d   [J, moving parallel to the field]
W = 0   [moving perpendicular to the field (along an equipotential)]</t>
  </si>
  <si>
    <t>• Find the field strength between parallel plates from V and d.
• Find the plate separation or the p.d. needed for a stated field.
• Find the work done moving a charge parallel to the field.
• Explain why no work is done moving a charge along an equipotential.</t>
  </si>
  <si>
    <t>PH11.6.6</t>
  </si>
  <si>
    <t>Sharing of charge; storing charge: the capacitor</t>
  </si>
  <si>
    <t>• Explain charge sharing between conductors brought into contact and calculate the final charges.
• Define capacitance as charge per unit potential difference; state the SI unit farad.
• Calculate the capacitance of a parallel-plate capacitor.
• Calculate the energy stored in a charged capacitor.
• Combine capacitors in series and in parallel (note: the rules are the *reverse* of the resistor rules).</t>
  </si>
  <si>
    <t>C = Q / V   [C = capacitance (F); Q = charge (C); V = potential difference (V)]
Q = C·V   []
Parallel-plate: C = ε₀·ε_r·A / d   [A = plate area (m²); d = separation (m)]
Energy: E = ½·C·V² = ½·Q·V = Q²/(2C)   [joules (J)]
Capacitors in parallel: C_p = C₁ + C₂ + ...   [F]
Capacitors in series: 1/C_s = 1/C₁ + 1/C₂ + ...   [F]
Charge sharing (identical spheres): Q_each = (Q₁ + Q₂)/2   [C]</t>
  </si>
  <si>
    <t>• Find C, Q, or V for a capacitor by rearrangement.
• Find the capacitance of a parallel-plate capacitor from its dimensions.
• Find the energy stored, and the energy change when V or C is altered.
• Combine capacitors in series and parallel and find the equivalent capacitance.
• Find the charge and voltage on each capacitor in a network.
• Find the effect of inserting a dielectric.
• Charge sharing between two capacitors connected together.</t>
  </si>
  <si>
    <t>T1 C = Q/V · T2 parallel-plate dimensions, energy formulae · T3 network combinations, dielectric insertion, charge-sharing energy loss</t>
  </si>
  <si>
    <t>• Applying the resistor series/parallel rules to capacitors (they are reversed).
• Believing capacitance depends on the charge stored (it depends only on geometry and dielectric).
• Confusing the three energy formulae and using mismatched quantities.</t>
  </si>
  <si>
    <t>camera flash units, defibrillators, touch screens, power-supply smoothing, energy-storage supercapacitors, tuning circuits.</t>
  </si>
  <si>
    <t>PH11.2.1.1</t>
  </si>
  <si>
    <t>Ch2: Rotational Motion</t>
  </si>
  <si>
    <t>Describing rotational motion</t>
  </si>
  <si>
    <t>Angular displacement</t>
  </si>
  <si>
    <t>• Define angular displacement and the radian; convert between degrees, radians, and revolutions.
• Relate angular displacement to arc length.</t>
  </si>
  <si>
    <t>θ = s / r   [θ = angular displacement (rad); s = arc length (m); r = radius (m)]
1 revolution = 2π rad = 360°   []
θ(rad) = θ(°) × π/180   []</t>
  </si>
  <si>
    <t>• Convert between degrees, radians, and revolutions.
• Find the arc length swept for a stated angular displacement and radius.
• Find the angular displacement from a stated arc length and radius.
• Find the total angular displacement after a stated number of revolutions.</t>
  </si>
  <si>
    <t>T1 conversion · T2 arc-length problems</t>
  </si>
  <si>
    <t>PH11.2.1.2</t>
  </si>
  <si>
    <t>Angular velocity</t>
  </si>
  <si>
    <t>• Define angular velocity as the rate of change of angular displacement; state the unit rad s⁻¹.
• Relate angular velocity to linear (tangential) velocity, period, and frequency.</t>
  </si>
  <si>
    <t>ω = Δθ / Δt   [ω = angular velocity (rad s⁻¹)]
v = ω·r   [v = tangential velocity (m s⁻¹)]
ω = 2π / T = 2π·f   [T = period (s); f = frequency (Hz)]
n rpm = (2π·n / 60) rad s⁻¹   [conversion from revolutions per minute]</t>
  </si>
  <si>
    <t>• Convert rpm to rad s⁻¹.
• Find tangential speed from angular speed and radius.
• Find the angular velocity of a wheel, turntable, or planet from its period.
• Compare tangential speeds at different radii on the same rotating body.</t>
  </si>
  <si>
    <t>T1 direct · T2 rpm conversion, v = ωr · T3 comparative radius problems, linked wheels</t>
  </si>
  <si>
    <t>• All points on a rotating body have the same tangential speed (they share ω, not v).</t>
  </si>
  <si>
    <t>PH11.2.1.3</t>
  </si>
  <si>
    <t>Angular acceleration and rotational kinematics</t>
  </si>
  <si>
    <t>• Define angular acceleration; state the unit rad s⁻².
• Apply the rotational kinematic equations, which are exact analogues of the linear equations.
• Relate angular to tangential and centripetal acceleration.</t>
  </si>
  <si>
    <t>α = Δω / Δt   [α = angular acceleration (rad s⁻²)]
ω = ω₀ + α·t   []
θ = ω₀·t + ½·α·t²   []
ω² = ω₀² + 2·α·θ   []
θ = ½(ω₀ + ω)·t   []
a_t = α·r   [tangential acceleration (m s⁻²)]
a_c = ω²·r = v²/r   [centripetal acceleration (m s⁻²)]</t>
  </si>
  <si>
    <t>• Find the angular acceleration of a wheel spinning up or slowing down.
• Find the number of revolutions during a stated angular acceleration.
• Find the time to reach a stated angular speed.
• Find tangential and centripetal acceleration at a point on a rotating body.
• Convert between linear and rotational descriptions of the same motion.</t>
  </si>
  <si>
    <t>T1 single equation · T2 equation selection, revolution counting · T3 combined tangential/centripetal, linear–rotational conversion</t>
  </si>
  <si>
    <t>• Confusing angular acceleration α with centripetal acceleration a_c.
• Forgetting to convert revolutions to radians before applying the equations.</t>
  </si>
  <si>
    <t>PH11.2.2.1</t>
  </si>
  <si>
    <t>Rotational dynamics</t>
  </si>
  <si>
    <t>Torque</t>
  </si>
  <si>
    <t>• Define torque as the rotational analogue of force; state the unit N m.
• Calculate torque including for a force applied at an angle.
• Determine the net torque on a body from several forces.</t>
  </si>
  <si>
    <t>τ = r·F·sin θ   [τ = torque (N m); r = distance from axis (m); F (N); θ = angle between r and F]
τ = F·d_perpendicular   [d = perpendicular distance from the axis to the line of action (m)]
τ_net = Στ (clockwise negative, anticlockwise positive)   [N m]</t>
  </si>
  <si>
    <t>• Find the torque of a force applied at a stated angle to a lever arm.
• Find the net torque from several forces on a wheel or beam.
• Find the force needed to produce a stated torque.</t>
  </si>
  <si>
    <t>T1 τ = rF · T2 angled force · T3 net torque from several forces</t>
  </si>
  <si>
    <t>• Using the distance to the point of application rather than the perpendicular distance to the line of action.
• Forgetting the sin θ factor for a force not perpendicular to the arm.</t>
  </si>
  <si>
    <t>PH11.2.2.2</t>
  </si>
  <si>
    <t>Moment of inertia</t>
  </si>
  <si>
    <t>• Define moment of inertia as the rotational analogue of mass, depending on both mass and its distribution about the axis.
• Calculate I for a system of point masses and quote I for standard rigid bodies.
• Explain why moving mass further from the axis increases I.</t>
  </si>
  <si>
    <t>Point mass   [I = m·r²]
System of point masses   [I = Σ m_i·r_i²]
Solid cylinder / disc (about its axis)   [I = ½·M·R²]
Hollow cylinder / hoop (about its axis)   [I = M·R²]
Solid sphere (about a diameter)   [I = (2/5)·M·R²]
Hollow sphere (about a diameter)   [I = (2/3)·M·R²]
Thin rod (about its centre)   [I = (1/12)·M·L²]
Thin rod (about one end)   [I = (1/3)·M·L²]</t>
  </si>
  <si>
    <t>• Find I for a system of point masses on a light rod.
• Compare I for the same mass in different distributions (disc vs hoop).
• Explain why a hollow cylinder rolls down a slope more slowly than a solid one.</t>
  </si>
  <si>
    <t>T1 quote the correct formula · T2 point-mass systems · T3 comparative rolling problems, composite bodies</t>
  </si>
  <si>
    <t>PH11.2.2.3</t>
  </si>
  <si>
    <t>Newton's second law for rotation and rotational kinetic energy</t>
  </si>
  <si>
    <t>• State and apply the rotational form of Newton's second law: τ = Iα.
• Calculate rotational kinetic energy and total kinetic energy for a rolling body.
• Apply energy conservation to rolling motion.</t>
  </si>
  <si>
    <t>τ = I·α   [τ (N m); I (kg m²); α (rad s⁻²)]
E_k(rotational) = ½·I·ω²   [J]
E_k(total, rolling) = ½·m·v² + ½·I·ω²   [J]
Rolling without slipping: v = ω·R   [m s⁻¹]
Work done by a torque: W = τ·θ   [J]
Rotational power: P = τ·ω   [W]</t>
  </si>
  <si>
    <t>• Find the angular acceleration produced by a stated torque.
• Find the torque needed to spin up a flywheel in a stated time.
• Find the rotational kinetic energy of a flywheel.
• Rolling down a slope: find the speed at the bottom using energy conservation.
• Compare the final speeds of a hoop, disc, and sphere rolling down the same slope.
• Find the power delivered by a motor from torque and rotational speed.</t>
  </si>
  <si>
    <t>T1 τ = Iα · T2 rotational KE, W = τθ · T3 rolling-body energy conservation, comparative rolling races</t>
  </si>
  <si>
    <t>• Using ½mv² alone for a rolling body (rotational KE must be included).
• Forgetting the rolling constraint v = ωR.</t>
  </si>
  <si>
    <t>PH11.2.3</t>
  </si>
  <si>
    <t>Equilibrium</t>
  </si>
  <si>
    <t>• State the two conditions for static equilibrium: ΣF = 0 and Στ = 0.
• Solve for unknown forces on beams, ladders, and hinged structures.
• Apply the conditions with the pivot chosen conveniently to eliminate an unknown.</t>
  </si>
  <si>
    <t>ΣF_x = 0 and ΣF_y = 0   [translational equilibrium (N)]
Στ = 0 about any point   [rotational equilibrium (N m)]</t>
  </si>
  <si>
    <t>• Beam on two supports with several loads: find both reactions.
• Ladder against a wall: find the friction and normal forces and the minimum angle.
• Hinged beam held by a cable: find the tension and the hinge reaction.
• Non-uniform beam: find its weight and centre of gravity from balance data.
• Crane with a counterweight: find the maximum safe load.</t>
  </si>
  <si>
    <t>T1 simple balance · T2 two-support beam · T3 ladder, hinged beam with cable, non-uniform bodies</t>
  </si>
  <si>
    <t>• Applying ΣF = 0 alone and neglecting the torque condition.
• Choosing a pivot that leaves two unknowns in the torque equation.</t>
  </si>
  <si>
    <t>structural analysis, crane and bridge design, ladder safety standards, robotic arm statics.</t>
  </si>
  <si>
    <t>Ch3: Momentum and Its Conservation</t>
  </si>
  <si>
    <t>Impulse and momentum</t>
  </si>
  <si>
    <t>• Define linear momentum as the product of mass and velocity; state the unit kg m s⁻¹ and its vector nature.
• Define impulse as force times time of action, and state the impulse–momentum theorem.
• Calculate impulse from the area under a force–time graph.
• Explain safety features (crumple zones, airbags, helmets, seat belts) in terms of increasing collision time to reduce force.</t>
  </si>
  <si>
    <t>p = m·v   [p = momentum (kg m s⁻¹ or N s); m (kg); v (m s⁻¹)]
J = F·Δt   [J = impulse (N s)]
J = Δp = m·v − m·u   [impulse–momentum theorem]
F = Δp / Δt = m(v − u)/t   [N]
J = area under the force–time graph   [N s]
F_average = Δp / Δt   [N]</t>
  </si>
  <si>
    <t>• Find momentum before and after a stated velocity change.
• Find the impulse delivered by a stated force over a stated time.
• Find the average force in a collision from the momentum change and the contact time.
• Find impulse from the area under a force–time graph.
• Explain and quantify how a crumple zone reduces the force experienced.
• Bouncing ball: momentum change including a direction reversal.</t>
  </si>
  <si>
    <t>T1 p = mv · T2 impulse–momentum with one direction · T3 direction reversal (bouncing), graph areas, safety-design calculations</t>
  </si>
  <si>
    <t>• Ignoring the sign change when velocity reverses (a bouncing ball's momentum change is m(v + u), not m(v − u) in magnitude).
• Confusing impulse (N s) with force (N).</t>
  </si>
  <si>
    <t>PH11.3.2</t>
  </si>
  <si>
    <t>Angular momentum</t>
  </si>
  <si>
    <t>• Define angular momentum as the rotational analogue of linear momentum.
• State and apply the conservation of angular momentum for an isolated system.
• Explain the spinning-skater effect, a diver's tuck, and the stability of a spinning top or gyroscope.</t>
  </si>
  <si>
    <t>L = I·ω   [L = angular momentum (kg m² s⁻¹); I (kg m²); ω (rad s⁻¹)]
L = m·v·r   [for a point mass in a circular path]
τ = ΔL / Δt   [N m]
Conservation: I₁·ω₁ = I₂·ω₂   [when net external torque is zero]
Angular impulse: τ·Δt = ΔL   [N m s]</t>
  </si>
  <si>
    <t>• Find the new angular speed of a skater who pulls in their arms (I changes).
• Find the angular momentum of a rotating flywheel or planet.
• Find the final angular speed when a disc is dropped onto a rotating turntable.
• Explain a described phenomenon using conservation of angular momentum.</t>
  </si>
  <si>
    <t>T1 L = Iω · T2 I₁ω₁ = I₂ω₂ · T3 combined-body problems, qualitative explanations</t>
  </si>
  <si>
    <t>• Believing kinetic energy is also conserved when angular momentum is (the skater does work pulling their arms in, increasing KE).</t>
  </si>
  <si>
    <t>PH11.3.3</t>
  </si>
  <si>
    <t>Conservation of linear momentum</t>
  </si>
  <si>
    <t>• State the law of conservation of momentum for an isolated system and relate it to Newton's third law.
• Distinguish elastic collisions (both momentum and kinetic energy conserved) from inelastic collisions (momentum conserved, kinetic energy not) and perfectly inelastic collisions (bodies stick together).
• Solve one-dimensional collision and explosion problems.
• Calculate the kinetic energy lost in an inelastic collision.</t>
  </si>
  <si>
    <t>m₁u₁ + m₂u₂ = m₁v₁ + m₂v₂   [momentum conservation, 1-D, with signs for direction]
Perfectly inelastic: m₁u₁ + m₂u₂ = (m₁ + m₂)·v   [common final velocity v]
Elastic (also): ½m₁u₁² + ½m₂u₂² = ½m₁v₁² + ½m₂v₂²   [J]
Elastic 1-D result: v₁ − v₂ = −(u₁ − u₂)   [relative velocity reverses]
Explosion from rest: m₁v₁ = −m₂v₂   [recoil]
Energy lost = KE_before − KE_after   [J]</t>
  </si>
  <si>
    <t>• Two bodies collide and stick together: find the common final velocity.
• Two bodies collide elastically: find both final velocities.
• Explosion / recoil: find the recoil velocity of a gun or the fragments of a bursting object.
• Determine whether a stated collision is elastic by comparing kinetic energies.
• Find the kinetic energy lost in an inelastic collision.
• Rocket propulsion and jet thrust using momentum change.
• Ballistic pendulum: combine collision (momentum) with swing (energy).</t>
  </si>
  <si>
    <t>T1 perfectly inelastic 1-D · T2 elastic collisions, explosions, sign conventions · T3 elastic/inelastic determination, ballistic pendulum, multi-stage problems</t>
  </si>
  <si>
    <t>• Kinetic energy is conserved in every collision.
• Ignoring direction signs for oppositely moving bodies.
• Believing momentum is not conserved when external forces such as friction are present *during the short collision* (over the brief impact, internal forces dominate).</t>
  </si>
  <si>
    <t>PH11.3.4</t>
  </si>
  <si>
    <t>Two-dimensional collisions</t>
  </si>
  <si>
    <t>• Apply momentum conservation independently in two perpendicular directions.
• Resolve velocities into components and solve for unknown magnitudes and directions.
• Analyse a glancing collision between two objects.</t>
  </si>
  <si>
    <t>x-direction: Σm·u_x = Σm·v_x   [kg m s⁻¹]
y-direction: Σm·u_y = Σm·v_y   []
Component form: v_x = v·cos θ, v_y = v·sin θ   []
Resultant: v = √(v_x² + v_y²), θ = tan⁻¹(v_y/v_x)   []</t>
  </si>
  <si>
    <t>• Two pucks collide at right angles: find the combined velocity after sticking together.
• Glancing collision: find one body's final velocity given the other's.
• Explosion into two or three fragments in a plane.
• Show that two equal masses in an elastic 2-D collision separate at 90° (where taught).</t>
  </si>
  <si>
    <t>T2 perpendicular components with sticking · T3 general-angle glancing collisions, three-fragment explosions</t>
  </si>
  <si>
    <t>vehicle crash reconstruction, billiards and sports collisions, particle physics scattering, rocket staging, spacecraft docking.</t>
  </si>
  <si>
    <t>PH11.4.1</t>
  </si>
  <si>
    <t>Ch4: Vibration and Waves</t>
  </si>
  <si>
    <t>• State and apply Hooke's law and determine the spring constant from a force–extension graph.
• Identify the limit of proportionality and the elastic limit.
• Calculate the restoring force in a spring–mass system.</t>
  </si>
  <si>
    <t>F = k·x (applied force)   [k = spring constant (N m⁻¹); x = extension (m)]
F_restoring = −k·x   [the negative sign indicates opposition to displacement]
k = gradient of the force–extension graph   [N m⁻¹]
Springs in series: 1/k_s = 1/k₁ + 1/k₂   [N m⁻¹]
Springs in parallel: k_p = k₁ + k₂   [N m⁻¹]</t>
  </si>
  <si>
    <t>• Find the spring constant from a stated force and extension, or from a graph gradient.
• Find the extension produced by a stated load.
• Find the restoring force at a stated displacement.
• Find the effective spring constant for springs combined in series or in parallel.
• Identify the limit of proportionality from force–extension data.</t>
  </si>
  <si>
    <t>PH8.1.4.3, PH10.1.2.4</t>
  </si>
  <si>
    <t>PH11.4.2</t>
  </si>
  <si>
    <t>Elastic potential energy</t>
  </si>
  <si>
    <t>• Calculate the energy stored in a stretched or compressed spring.
• Identify the stored energy as the area under the force–extension graph.
• Apply energy conservation to spring–mass systems.</t>
  </si>
  <si>
    <t>E_elastic = ½·k·x²   [J]
E_elastic = ½·F·x   [J (equivalent form)]
E = area under the force–extension graph   [J]
Energy conservation: ½kx² = ½mv² (spring launching a mass)   [J]
½kx² = mgh (spring launching a mass vertically)   [J]</t>
  </si>
  <si>
    <t>• Find the energy stored for a stated extension.
• Find the launch speed of a mass propelled by a compressed spring.
• Find the maximum height reached by a spring-launched projectile.
• Find the extension for a stated stored energy.
• Compare energy stored at x and at 2x (factor of 4).</t>
  </si>
  <si>
    <t>T1 direct · T2 energy-conservation launch problems · T3 vertical launch with gravity, ratio reasoning</t>
  </si>
  <si>
    <t>• Using E = kx² without the ½.
• Believing doubling the extension doubles the stored energy (it quadruples it).</t>
  </si>
  <si>
    <t>PH11.4.3</t>
  </si>
  <si>
    <t>Velocity as a function of position in SHM</t>
  </si>
  <si>
    <t>• Derive the velocity–displacement relation for a spring–mass system from energy conservation.
• Calculate the speed of an oscillator at any displacement, and identify maximum speed at equilibrium and zero speed at the extremes.</t>
  </si>
  <si>
    <t>½·k·A² = ½·k·x² + ½·m·v²   [energy conservation; A = amplitude (m)]
v = ±√(k/m)·√(A² − x²)   [m s⁻¹]
v = ±ω·√(A² − x²)   [with ω = √(k/m)]
v_max = ω·A (at x = 0)   [m s⁻¹]
v = 0 at x = ±A   []</t>
  </si>
  <si>
    <t>• Find the speed at a stated displacement.
• Find the displacement at which the speed is half the maximum.
• Find the amplitude from a stated speed at a stated displacement.
• Find where kinetic and potential energy are equal.</t>
  </si>
  <si>
    <t>T1 v_max · T2 v at stated x · T3 inverse problems, energy-partition points</t>
  </si>
  <si>
    <t>PH11.4.4</t>
  </si>
  <si>
    <t>Comparing SHM with circular motion</t>
  </si>
  <si>
    <t>• Explain SHM as the projection of uniform circular motion onto a diameter.
• Define simple harmonic motion by the condition a ∝ −x.
• Relate angular frequency, period, and frequency.</t>
  </si>
  <si>
    <t>a = −ω²·x   [defining condition of SHM; a (m s⁻²)]
ω = 2π·f = 2π/T   [rad s⁻¹]
Spring–mass: ω = √(k/m)   [rad s⁻¹]
T = 2π·√(m/k)   [period of a spring–mass oscillator (s)]
f = (1/2π)·√(k/m)   [Hz]</t>
  </si>
  <si>
    <t>• Find the period of a spring–mass system from m and k.
• Find the mass or spring constant required for a stated period.
• Find the acceleration at a stated displacement.
• Explain why the period of a spring–mass system is independent of amplitude.</t>
  </si>
  <si>
    <t>T1 T = 2π√(m/k) · T2 rearrangement · T3 amplitude-independence reasoning, combined spring systems</t>
  </si>
  <si>
    <t>• The period depends on the amplitude (for ideal SHM it does not).
• Confusing frequency f (Hz) with angular frequency ω (rad s⁻¹).</t>
  </si>
  <si>
    <t>PH11.4.5</t>
  </si>
  <si>
    <t>Position, velocity and acceleration in SHM</t>
  </si>
  <si>
    <t>• Write and use the instantaneous equations for displacement, velocity, and acceleration in SHM.
• Sketch and interpret x–t, v–t, and a–t graphs for SHM and describe their phase relationships.
• Identify the points of maximum and zero displacement, velocity, and acceleration.</t>
  </si>
  <si>
    <t>x = A·cos(ω·t) or x = A·sin(ω·t)   [depending on the starting condition; x (m)]
v = −A·ω·sin(ω·t)   [m s⁻¹ (for x = A cos ωt)]
a = −A·ω²·cos(ω·t) = −ω²·x   [m s⁻²]
x_max = A · v_max = ω·A · a_max = ω²·A   []
E_total = ½·k·A² = ½·m·ω²·A²   [J]</t>
  </si>
  <si>
    <t>• Find the displacement, velocity, or acceleration at a stated time.
• Find the time at which the oscillator first reaches a stated displacement.
• Find the maximum velocity and acceleration from A and ω.
• Interpret or sketch the three SHM graphs and identify their phase relationships.
• Find the total energy and the partition between kinetic and potential at a stated displacement.</t>
  </si>
  <si>
    <t>T1 v_max and a_max · T2 instantaneous values at a stated t · T3 inverse-time problems, graph phase analysis, energy partition</t>
  </si>
  <si>
    <t>• Believing acceleration is maximum where velocity is maximum (they are 90° out of phase).
• Using degrees in a calculator set to radians (or vice versa) when evaluating ωt.</t>
  </si>
  <si>
    <t>PH11.4.6</t>
  </si>
  <si>
    <t>Motion of a pendulum</t>
  </si>
  <si>
    <t>• Derive and apply the period formula for a simple pendulum in the small-angle approximation.
• State that the period is independent of mass and of amplitude (for small angles).
• Determine g experimentally from the gradient of a T² against L graph.</t>
  </si>
  <si>
    <t>T = 2π·√(L / g)   [T = period (s); L = pendulum length (m); g = 9.8 m s⁻²]
T² = (4π²/g)·L   [linear form; gradient = 4π²/g]
g = 4π²·L / T²   []
f = (1/2π)·√(g/L)   [Hz]</t>
  </si>
  <si>
    <t>• Find the period of a pendulum of stated length.
• Find the length needed for a stated period (a seconds pendulum has T = 2 s).
• Find g from experimental T and L data or from the gradient of a T² vs L graph.
• Find the period of the same pendulum on the Moon.
• Explain why the period is independent of mass and (for small swings) amplitude.</t>
  </si>
  <si>
    <t>T1 direct T · T2 rearrangement for L or g · T3 graph-gradient determination of g, different-planet comparisons</t>
  </si>
  <si>
    <t>• A heavier bob gives a longer period (mass does not appear in the formula).
• The small-angle approximation holds at any amplitude.</t>
  </si>
  <si>
    <t>pendulum clocks, seismometers, tuned mass dampers in tall buildings, vibration isolation, MEMS resonators.</t>
  </si>
  <si>
    <t>Waves: frequency, amplitude and wavelength</t>
  </si>
  <si>
    <t>• Define wavelength, amplitude, frequency, period, and wave speed with correct units.
• Distinguish transverse and longitudinal waves and give examples of each.
• Apply the wave equation and read parameters from displacement–distance and displacement–time graphs.
• Describe reflection, refraction, diffraction, and interference of waves qualitatively.</t>
  </si>
  <si>
    <t>v = f·λ   [v (m s⁻¹); f (Hz); λ (m)]
f = 1/T   [Hz]
ω = 2π·f   [rad s⁻¹]
k = 2π/λ   [wave number (rad m⁻¹)]
y = A·sin(k·x − ω·t)   [travelling wave equation; y = displacement (m)]</t>
  </si>
  <si>
    <t>• Find v, f, or λ by substitution.
• Read A and λ from a displacement–distance graph; read A and T from a displacement–time graph; combine to find v.
• Identify wave parameters from a given wave equation.
• Compare two waves on the same axes.</t>
  </si>
  <si>
    <t>T1 v = fλ · T2 graph reading and conversion · T3 wave equation parameter extraction, graph-type discrimination</t>
  </si>
  <si>
    <t>• Confusing the two graph types.
• Believing amplitude affects wave speed (in a given medium it does not).</t>
  </si>
  <si>
    <t>PH11.4.8</t>
  </si>
  <si>
    <t>The speed of waves on strings</t>
  </si>
  <si>
    <t>• Calculate the speed of a transverse wave on a stretched string from tension and linear density.
• Explain how tension and mass per unit length affect wave speed, and connect this to musical instrument tuning.</t>
  </si>
  <si>
    <t>v = √(T / μ)   [v (m s⁻¹); T = tension (N); μ = linear mass density (kg m⁻¹)]
μ = m / L   [m = string mass (kg); L = string length (m)]
v = f·λ   [to link with frequency]
Fundamental on a fixed string: f₁ = v/(2L) = (1/2L)·√(T/μ)   [Hz]</t>
  </si>
  <si>
    <t>• Find the wave speed from tension and linear density.
• Find the tension needed for a stated wave speed or fundamental frequency.
• Find the effect on speed of quadrupling the tension (speed doubles).
• Explain how tightening a guitar string raises its pitch.</t>
  </si>
  <si>
    <t>T1 direct v = √(T/μ) · T2 μ from m and L, rearrangement · T3 combine with f = v/2L, ratio reasoning</t>
  </si>
  <si>
    <t>• Believing wave speed on a string depends on frequency or amplitude (it depends on tension and linear density).
• Confusing T for tension with T for period.</t>
  </si>
  <si>
    <t>stringed instrument design and tuning, cable vibration in bridges, seismic wave propagation, ultrasound.</t>
  </si>
  <si>
    <t>PH11.1.1</t>
  </si>
  <si>
    <t>Ch1: Gravitation</t>
  </si>
  <si>
    <t>Planetary motion and Kepler's laws</t>
  </si>
  <si>
    <t>• State Kepler's three laws of planetary motion.
• Apply Kepler's third law to compare orbital periods and radii.
• Describe the historical development from geocentric to heliocentric models.</t>
  </si>
  <si>
    <t>1st law: planets move in ellipses with the Sun at one focus   []
2nd law: the line from Sun to planet sweeps equal areas in equal times   [implies faster motion at perihelion]
3rd law: T² ∝ r³   [T = orbital period (s); r = semi-major axis / mean orbital radius (m)]
T₁²/T₂² = r₁³/r₂³   [comparison form]
T² = (4π²/G·M)·r³   [full form; M = central mass (kg)]</t>
  </si>
  <si>
    <t>• Find the orbital period of a planet given its orbital radius and data for another planet.
• Find the orbital radius from the period.
• Compare two satellites or planets using the ratio form.
• Explain why a planet moves fastest at perihelion (second law).</t>
  </si>
  <si>
    <t>T1 ratio form with simple numbers · T2 cube/square-root manipulation · T3 full-form use with G and M, mixed-unit astronomical data</t>
  </si>
  <si>
    <t>• Kepler's third law applies with radius in any units without consistency (ratios must use consistent units).
• Orbits are circular (they are ellipses; circles are the special case).</t>
  </si>
  <si>
    <t>PH11.1.2</t>
  </si>
  <si>
    <t>Newton's law of universal gravitation</t>
  </si>
  <si>
    <t>• State and apply Newton's law of universal gravitation.
• Recognise the inverse-square dependence and calculate the force between any two masses.
• Compare gravitational and electrostatic forces in form and relative strength.</t>
  </si>
  <si>
    <t>F = G·m₁·m₂ / r²   [F (N); G = 6.67 × 10⁻¹¹ N m² kg⁻²; m (kg); r = centre-to-centre separation (m)]</t>
  </si>
  <si>
    <t>• Find the force between two stated masses at a stated separation.
• Find the effect on F of doubling a mass or tripling the separation.
• Find the net gravitational force on a body between two others.
• Find the point between two bodies where the net gravitational field is zero.
• Compare gravitational and Coulomb forces between two protons.</t>
  </si>
  <si>
    <t>T1 direct substitution · T2 ratio reasoning, standard form · T3 net force from several bodies, zero-field point</t>
  </si>
  <si>
    <t>• Using surface-to-surface rather than centre-to-centre separation.
• Treating the force as inversely proportional to r.</t>
  </si>
  <si>
    <t>PH11.1.3</t>
  </si>
  <si>
    <t>Universal gravitation and Kepler's third law</t>
  </si>
  <si>
    <t>• Derive Kepler's third law by equating gravitational force to the centripetal force requirement.
• Calculate orbital speed, period, and radius for satellites and planets.
• Determine the mass of a central body from a satellite's orbital data.
• Describe geostationary orbits and calculate their radius.</t>
  </si>
  <si>
    <t>G·M·m/r² = m·v²/r → v = √(G·M / r)   [orbital speed (m s⁻¹)]
T = 2π·√(r³ / (G·M))   [orbital period (s)]
T² = 4π²·r³ / (G·M)   [Kepler's third law derived]
M = 4π²·r³ / (G·T²)   [central mass from orbital data (kg)]
Geostationary: T = 24 h = 86 400 s → r ≈ 4.2 × 10⁷ m   [above the equator, ~3.6 × 10⁷ m altitude]
Escape velocity: v_esc = √(2·G·M / R)   [m s⁻¹]</t>
  </si>
  <si>
    <t>• Find the orbital speed of a satellite at a stated altitude (remember r = R_Earth + altitude).
• Find the orbital period of a satellite.
• Find the radius of a geostationary orbit.
• Find the mass of the Earth or Sun from orbital data.
• Find the escape velocity from a planet.
• Compare the speeds of satellites at two different altitudes.</t>
  </si>
  <si>
    <t>T1 direct v or T · T2 altitude-to-radius conversion, rearrangement · T3 geostationary derivation, central-mass determination, escape velocity</t>
  </si>
  <si>
    <t>• Using altitude instead of orbital radius (must add the planet's radius).
• Believing a satellite in orbit experiences no gravity (it is in continuous free fall).
• Believing heavier satellites need to orbit faster (satellite mass cancels).</t>
  </si>
  <si>
    <t>PH11.1.4</t>
  </si>
  <si>
    <t>Gravitational field and acceleration due to gravity</t>
  </si>
  <si>
    <t>• Define gravitational field strength as force per unit mass and show that it equals the acceleration due to gravity.
• Calculate g at a planet's surface and at altitude.
• Describe gravitational field patterns (radial for a point/spherical mass, uniform near a surface).
• Explain the variation of g with latitude and altitude on Earth.</t>
  </si>
  <si>
    <t>g = F / m   [g = gravitational field strength (N kg⁻¹ = m s⁻²)]
g = G·M / r²   [at distance r from a mass M's centre]
g_surface = G·M / R²   [R = planet radius (m)]
At altitude h: g = G·M/(R + h)²   []
g_h / g_surface = R² / (R + h)²   [ratio form]
M = g·R² / G   [planet mass from surface g]</t>
  </si>
  <si>
    <t>• Find g at the surface of a stated planet from M and R.
• Find g at a stated altitude above the Earth.
• Find the altitude at which g has half its surface value.
• Find the mass or density of a planet from its surface g and radius.
• Compare weights of the same object on different planets.</t>
  </si>
  <si>
    <t>T1 direct g = GM/r² · T2 altitude problems, ratio form · T3 inverse problems (find altitude for stated g), planet density determination</t>
  </si>
  <si>
    <t>• g is a constant everywhere (it varies with altitude, latitude, and local density).
• Weight is the same on every planet.</t>
  </si>
  <si>
    <t>satellite launch and orbit design, GPS timing corrections, spacecraft trajectory planning, gravimetric surveying for mineral exploration, tides.</t>
  </si>
  <si>
    <t>PH12.1.3</t>
  </si>
  <si>
    <t>Ch1: Thermal Physics</t>
  </si>
  <si>
    <t>Macroscopic description of an ideal gas</t>
  </si>
  <si>
    <t>• State the assumptions defining an ideal gas.
• State and apply Boyle's law, Charles's law, and Gay-Lussac's (pressure) law.
• Combine them into the general gas equation and the ideal gas equation of state.
• Explain how extrapolation of a pressure–temperature or volume–temperature graph determines absolute zero.
• Use the mole, Avogadro's number, and the universal and Boltzmann gas constants.</t>
  </si>
  <si>
    <t>Boyle's law: p·V = constant (T fixed) → p₁V₁ = p₂V₂   [p (Pa); V (m³)]
Charles's law: V/T = constant (p fixed) → V₁/T₁ = V₂/T₂   [T in kelvin]
Gay-Lussac: p/T = constant (V fixed) → p₁/T₁ = p₂/T₂   []
Combined: p₁V₁/T₁ = p₂V₂/T₂   []
Ideal gas equation: p·V = n·R·T   [n = number of moles; R = 8.31 J mol⁻¹ K⁻¹]
p·V = N·k_B·T   [N = number of molecules; k_B = 1.38 × 10⁻²³ J K⁻¹]
n = m / M   [m = mass (g); M = molar mass (g mol⁻¹)]
N = n·N_A   [N_A = 6.02 × 10²³ mol⁻¹]
R = N_A · k_B   []
ρ = p·M / (R·T)   [gas density (kg m⁻³)]</t>
  </si>
  <si>
    <t>• Apply Boyle's, Charles's, or the pressure law to a two-state change.
• Combined gas law with all three variables changing.
• Find n, N, p, V, or T from pV = nRT.
• Find the mass of gas in a container of stated volume, pressure, and temperature.
• Extrapolate a p–T graph to find absolute zero.
• Find the number of molecules in a stated volume of gas at STP.
• Gas cylinder problems: find the mass of gas remaining after partial release.</t>
  </si>
  <si>
    <t>T1 single gas law · T2 combined law, unit conversion (°C → K, cm³ → m³, kPa → Pa) · T3 pV = nRT with moles and mass, extrapolation, multi-container problems</t>
  </si>
  <si>
    <t>• Using Celsius temperatures in gas law calculations (kelvin is required).
• Failing to convert volume to consistent units.
• Believing an ideal gas has zero volume at 0 K in reality (real gases liquefy first).</t>
  </si>
  <si>
    <t>PH12.1.4</t>
  </si>
  <si>
    <t>Kinetic theory of gases</t>
  </si>
  <si>
    <t>• State the assumptions of the kinetic theory of an ideal gas.
• Relate pressure to molecular motion via p = (1/3)ρ⟨c²⟩.
• Relate the average translational kinetic energy of a molecule to absolute temperature.
• Calculate root-mean-square speed and explain its temperature and molar-mass dependence.
• Explain gas pressure, Brownian motion, and diffusion using the molecular model.</t>
  </si>
  <si>
    <t>p = (1/3)·ρ·⟨c²⟩   [p (Pa); ρ = gas density (kg m⁻³); ⟨c²⟩ = mean square speed (m² s⁻²)]
p·V = (1/3)·N·m·⟨c²⟩   [N = number of molecules; m = molecular mass (kg)]
⟨E_k⟩ = (3/2)·k_B·T   [average translational KE per molecule (J)]
Total translational KE = (3/2)·n·R·T   [J for n moles]
c_rms = √⟨c²⟩ = √(3·k_B·T / m)   [m s⁻¹]
c_rms = √(3·R·T / M)   [M = molar mass (kg mol⁻¹)]
c_rms ∝ √T and c_rms ∝ 1/√M   [proportionalities]
Internal energy of a monatomic ideal gas: U = (3/2)·n·R·T   [J]</t>
  </si>
  <si>
    <t>• Find c_rms for a stated gas at a stated temperature.
• Find the temperature at which a gas has a stated c_rms.
• Compare c_rms of two gases at the same temperature (lighter is faster).
• Find the effect on c_rms of quadrupling the absolute temperature (doubles).
• Find the average kinetic energy per molecule and the total internal energy.
• Find pressure from density and mean square speed.</t>
  </si>
  <si>
    <t>T1 ⟨E_k⟩ = (3/2)k_BT · T2 c_rms calculation with molar mass conversion · T3 comparative gas problems, proportionality reasoning, internal energy</t>
  </si>
  <si>
    <t>• Using molar mass in g mol⁻¹ instead of kg mol⁻¹ in c_rms = √(3RT/M).
• Believing all molecules in a gas have the same speed (there is a distribution).
• Confusing c_rms with the mean speed.</t>
  </si>
  <si>
    <t>gas separation and enrichment by diffusion, vacuum technology, tyre pressure and temperature, hot-air balloons, gas storage and safety.</t>
  </si>
  <si>
    <t>PH12.2.1</t>
  </si>
  <si>
    <t>Ch2: Laws of Thermodynamics</t>
  </si>
  <si>
    <t>Thermodynamic systems, states and processes</t>
  </si>
  <si>
    <t>• Define a thermodynamic system, its surroundings, and its boundary; distinguish open, closed, and isolated systems.
• Define the state of a system by its state variables (p, V, T, n) and define a thermodynamic process.
• Distinguish reversible from irreversible processes.
• Represent processes on a p–V diagram.</t>
  </si>
  <si>
    <t>T1 definitions · T2 classification · T3 p–V diagram interpretation</t>
  </si>
  <si>
    <t>PH12.2.2</t>
  </si>
  <si>
    <t>Work in thermodynamic processes</t>
  </si>
  <si>
    <t>• Calculate the work done by or on a gas during expansion or compression.
• Determine work from the area under a p–V curve, with sign conventions.
• Calculate work for isobaric, isochoric, and isothermal processes.</t>
  </si>
  <si>
    <t>W = p·ΔV   [work done *by* the gas at constant pressure (J); p (Pa); ΔV (m³)]
W = area under the p–V curve   [J]
Isobaric: W = p(V₂ − V₁)   [J]
Isochoric: W = 0   [no volume change]
Isothermal (ideal gas): W = n·R·T·ln(V₂/V₁)   [J]
Cyclic process: W_net = area enclosed by the loop   [J; clockwise = net work done by the gas]
Sign: W &gt; 0 when the gas expands (does work on the surroundings)   []</t>
  </si>
  <si>
    <t>• Find the work done in an isobaric expansion or compression.
• Find the work from the area under a stated p–V graph.
• Find the net work in a complete cycle from the enclosed area.
• Find the work in an isothermal expansion using the logarithmic formula.
• Determine the sign of the work for a described process.</t>
  </si>
  <si>
    <t>T1 W = pΔV · T2 area under a multi-segment p–V path · T3 isothermal logarithm, cyclic net work, sign analysis</t>
  </si>
  <si>
    <t>• Sign errors: treating compression work as positive for the gas.
• Assuming W = pΔV applies when pressure varies (it applies only at constant pressure; otherwise use the area).</t>
  </si>
  <si>
    <t>PH12.2.3</t>
  </si>
  <si>
    <t>The first law of thermodynamics</t>
  </si>
  <si>
    <t>• State the first law as a statement of energy conservation: ΔU = Q − W.
• Apply the correct sign conventions for heat added/removed and work done by/on the gas.
• Relate internal energy change to temperature change for an ideal gas.
• Apply the first law to each of the four standard processes.</t>
  </si>
  <si>
    <t>ΔU = Q − W   [ΔU = change in internal energy (J); Q = heat added *to* the system (J); W = work done *by* the system (J)]
Q &gt; 0: heat added · Q &lt; 0: heat removed   []
W &gt; 0: gas expands · W &lt; 0: gas compressed   []
Monatomic ideal gas: ΔU = (3/2)·n·R·ΔT   [J]
Diatomic ideal gas: ΔU = (5/2)·n·R·ΔT   [J]
Q = n·C_v·ΔT (constant volume) · Q = n·C_p·ΔT (constant pressure)   [C in J mol⁻¹ K⁻¹]
C_p − C_v = R · γ = C_p / C_v   []</t>
  </si>
  <si>
    <t>• Find any one of ΔU, Q, W given the other two.
• Apply the first law to a stated process and determine the signs of all three terms.
• Multi-step process: apply the first law at each stage and to the total.
• Complete a cycle and show that ΔU_total = 0.
• Determine the temperature change from ΔU for an ideal gas.</t>
  </si>
  <si>
    <t>T1 direct ΔU = Q − W · T2 sign determination for a described process · T3 multi-step and cyclic analysis, C_p/C_v relations</t>
  </si>
  <si>
    <t>• Sign convention errors (the most common source of mistakes in this topic).
• Believing ΔU depends on the path taken (it is a state function; Q and W are path-dependent).
• Believing ΔU ≠ 0 around a complete cycle.</t>
  </si>
  <si>
    <t>PH12.2.4</t>
  </si>
  <si>
    <t>Thermal processes: isobaric, isochoric, isothermal, adiabatic</t>
  </si>
  <si>
    <t>• Define and characterise each of the four processes on a p–V diagram.
• Apply the first law to each and state which quantity is zero or constant.
• Give real examples of each process.</t>
  </si>
  <si>
    <t>Adiabatic: p·V^γ = constant → p₁V₁^γ = p₂V₂^γ   [γ = C_p/C_v (≈1.67 monatomic, ≈1.4 diatomic)]
Adiabatic: T·V^(γ−1) = constant   []
Adiabatic work: W = (p₁V₁ − p₂V₂)/(γ − 1)   [J]</t>
  </si>
  <si>
    <t>• Identify the process type from a p–V diagram or a description.
• Find the final state variables for a stated process.
• Find Q, W, and ΔU for each process type.
• Adiabatic compression: find the final pressure and temperature (diesel engine compression).
• Analyse a multi-process cycle stage by stage in a table.</t>
  </si>
  <si>
    <t>T1 identify the process, state which quantity is zero · T2 single-process calculation · T3 adiabatic exponent problems, full cycle analysis</t>
  </si>
  <si>
    <t>• Confusing isothermal (ΔU = 0) with adiabatic (Q = 0).
• Believing temperature is constant in an adiabatic process.
• Using p₁V₁ = p₂V₂ for an adiabatic process (γ is required).</t>
  </si>
  <si>
    <t>PH12.2.5.1</t>
  </si>
  <si>
    <t>Heat engines and the second law of thermodynamics</t>
  </si>
  <si>
    <t>Heat engines and thermal efficiency</t>
  </si>
  <si>
    <t>• Describe a heat engine as a device that converts heat into work while operating in a cycle between two reservoirs.
• Calculate the work output and thermal efficiency of a heat engine.
• Explain why waste heat is unavoidable.</t>
  </si>
  <si>
    <t>W = Q_H − Q_C   [W = net work per cycle (J); Q_H = heat absorbed from the hot reservoir; Q_C = heat rejected to the cold reservoir]
η = W / Q_H   [thermal efficiency (dimensionless or %)]
η = 1 − Q_C / Q_H   []
η % = η × 100   []
Power output: P = W / t = W × (cycles per second)   [W]</t>
  </si>
  <si>
    <t>• Find the efficiency from Q_H and Q_C, or from W and Q_H.
• Find the work output for a stated heat input and efficiency.
• Find the heat rejected per cycle.
• Find the power output from the work per cycle and the cycle rate.
• Find the fuel consumption rate needed for a stated power output.</t>
  </si>
  <si>
    <t>T1 direct η · T2 rearrangement, per-cycle to power · T3 fuel-consumption and multi-stage plant problems</t>
  </si>
  <si>
    <t>PH12.2.5.2</t>
  </si>
  <si>
    <t>The second law of thermodynamics</t>
  </si>
  <si>
    <t>• State the second law in the Kelvin–Planck form (no engine can convert heat entirely into work in a cycle) and the Clausius form (heat does not flow spontaneously from cold to hot).
• Explain the concept of entropy as a measure of disorder and state that the entropy of an isolated system never decreases.
• Explain the directionality (arrow of time) of natural processes.</t>
  </si>
  <si>
    <t>ΔS = Q / T   [ΔS = entropy change (J K⁻¹) for a reversible isothermal transfer at temperature T (K)]
ΔS_universe ≥ 0   [equality only for a reversible process]</t>
  </si>
  <si>
    <t>• Find the entropy change for a reversible isothermal heat transfer.
• Find the total entropy change of the universe when heat flows between two reservoirs.
• Explain why a stated process is forbidden by the second law.
• Classify a described process as reversible or irreversible and justify.</t>
  </si>
  <si>
    <t>T1 statement · T2 entropy calculation · T3 directionality reasoning, entropy of a combined system</t>
  </si>
  <si>
    <t>• Entropy can never decrease anywhere (it can decrease locally, provided the total for the universe increases).
• A 100 % efficient engine is merely a technological challenge (it is forbidden by the second law).</t>
  </si>
  <si>
    <t>PH12.2.5.3</t>
  </si>
  <si>
    <t>Reversible and irreversible processes</t>
  </si>
  <si>
    <t>• Distinguish reversible from irreversible processes and give examples of each.
• Explain why all real processes are irreversible (friction, finite temperature differences, turbulence).</t>
  </si>
  <si>
    <t>PH12.2.5.4</t>
  </si>
  <si>
    <t>The Carnot engine</t>
  </si>
  <si>
    <t>• Describe the four stages of the Carnot cycle (isothermal expansion, adiabatic expansion, isothermal compression, adiabatic compression) and sketch it on a p–V diagram.
• Calculate the Carnot (maximum possible) efficiency from the reservoir temperatures.
• Compare a real engine's efficiency with the Carnot limit.
• Apply the concept to refrigerators and heat pumps via the coefficient of performance.</t>
  </si>
  <si>
    <t>η_Carnot = 1 − T_C / T_H   [temperatures in kelvin]
η_Carnot = (T_H − T_C) / T_H   []
Q_C / Q_H = T_C / T_H   [for a Carnot cycle]
Refrigerator COP = Q_C / W = T_C / (T_H − T_C)   [dimensionless]
Heat pump COP = Q_H / W = T_H / (T_H − T_C)   [dimensionless]</t>
  </si>
  <si>
    <t>• Find the maximum theoretical efficiency for stated reservoir temperatures.
• Compare a real engine's stated efficiency with the Carnot limit and comment.
• Find the cold-reservoir temperature needed for a target efficiency.
• Find the work needed by a refrigerator to remove a stated heat.
• Find the COP of a heat pump and the electrical power needed.</t>
  </si>
  <si>
    <t>T1 direct η_Carnot · T2 °C → K conversion, comparison with a real engine · T3 refrigerator/heat-pump COP, design-for-efficiency</t>
  </si>
  <si>
    <t>• Using Celsius temperatures in the Carnot formula (kelvin is essential).
• Believing a real engine can exceed the Carnot efficiency.
• Believing COP cannot exceed 1 (it usually does, and this does not violate energy conservation).</t>
  </si>
  <si>
    <t>PH12.2.6</t>
  </si>
  <si>
    <t>Gasoline and diesel engines</t>
  </si>
  <si>
    <t>• Describe the four strokes of a petrol (Otto cycle) engine and a diesel engine, and identify each stroke on a p–V diagram.
• Compare petrol and diesel engines on ignition method, compression ratio, and efficiency.
• Calculate the efficiency from the compression ratio where taught.</t>
  </si>
  <si>
    <t>Otto cycle efficiency: η = 1 − 1/r^(γ−1)   [r = compression ratio (dimensionless); γ = C_p/C_v]
Compression ratio r = V_max / V_min   []</t>
  </si>
  <si>
    <t>• Find the efficiency from the compression ratio.
• Find the compression ratio needed for a target efficiency.
• Explain why diesel engines are more efficient than petrol engines (higher compression ratio).
• Identify the strokes on a p–V diagram.</t>
  </si>
  <si>
    <t>T1 identify strokes · T2 efficiency from r · T3 comparative engine analysis, design reasoning</t>
  </si>
  <si>
    <t>internal combustion engine design, power station efficiency, combined cycle plants, refrigeration and air-conditioning, heat pump heating.</t>
  </si>
  <si>
    <t>PH12.3.1</t>
  </si>
  <si>
    <t>Ch3: Superposition and Standing Waves</t>
  </si>
  <si>
    <t>Superposition and interference</t>
  </si>
  <si>
    <t>• State the principle of superposition: the resultant displacement is the vector sum of the individual displacements.
• Distinguish constructive from destructive interference and state the path-difference and phase-difference conditions for each.
• Define coherence and state the conditions required for a stable interference pattern.</t>
  </si>
  <si>
    <t>y_resultant = y₁ + y₂   [displacements (m)]
Constructive: path difference = n·λ (n = 0, 1, 2, ...)   [m]
Destructive: path difference = (n + ½)·λ   [m]
Phase difference: Δφ = (2π/λ)·Δx   [rad]
Constructive: Δφ = 2nπ · Destructive: Δφ = (2n+1)π   [rad]</t>
  </si>
  <si>
    <t>• Determine whether interference at a point is constructive or destructive from the path difference.
• Find the path difference from stated distances to two sources.
• Convert between path difference and phase difference.
• Find the wavelength from a stated interference condition.</t>
  </si>
  <si>
    <t>T1 apply the condition · T2 compute path difference from geometry · T3 phase-difference conversion, locating maxima and minima</t>
  </si>
  <si>
    <t>• Believing energy is destroyed at points of destructive interference (it is redistributed).
• Believing any two waves interfere stably (coherence is required).</t>
  </si>
  <si>
    <t>PH12.3.2</t>
  </si>
  <si>
    <t>Superposition of sinusoidal waves</t>
  </si>
  <si>
    <t>• Add two sinusoidal waves of the same frequency with a phase difference and find the resultant amplitude.
• Explain beats as the superposition of two waves of slightly different frequency, and calculate the beat frequency.</t>
  </si>
  <si>
    <t>y = 2A·cos(Δφ/2)·sin(kx − ωt + Δφ/2)   [resultant of two equal-amplitude waves]
Resultant amplitude: A_R = 2A·cos(Δφ/2)   [m]
A_R = 2A when Δφ = 0 (constructive); A_R = 0 when Δφ = π (destructive)   []
Beat frequency: f_beat =   [f₁ − f₂]</t>
  </si>
  <si>
    <t>• Find the resultant amplitude for a stated phase difference.
• Find the beat frequency from two stated frequencies.
• Find the unknown frequency of a tuning fork from a beat frequency and a known reference.</t>
  </si>
  <si>
    <t>T1 beat frequency · T2 resultant amplitude · T3 unknown-frequency determination (two possible answers)</t>
  </si>
  <si>
    <t>PH12.3.3</t>
  </si>
  <si>
    <t>Interference of sound waves</t>
  </si>
  <si>
    <t>• Apply the interference conditions to sound from two coherent loudspeakers.
• Locate points of maximum and minimum loudness along a line.
• Explain acoustic dead spots and noise-cancelling headphones.</t>
  </si>
  <si>
    <t>• Find the positions of loud and quiet points between two speakers.
• Find the frequency that produces a minimum at a stated position.
• Explain the operation of active noise cancellation.</t>
  </si>
  <si>
    <t>PH12.3.4</t>
  </si>
  <si>
    <t>Standing waves</t>
  </si>
  <si>
    <t>• Explain the formation of a standing wave from two identical waves travelling in opposite directions.
• Identify nodes and antinodes and state the spacing between adjacent nodes (λ/2).
• Distinguish standing waves from progressive waves.
• Determine the harmonic frequencies for a string fixed at both ends, an open pipe, and a closed pipe.</t>
  </si>
  <si>
    <t>String fixed both ends (length L)   [f_n = n·v/(2L), n = 1, 2, 3, ...]
Pipe open at both ends   [f_n = n·v/(2L), n = 1, 2, 3, ...]
Pipe closed at one end   [f_n = n·v/(4L), n = 1, 3, 5, ...]
Relation   [Symbols and units]
Node-to-node distance = λ/2   [m]
Node-to-antinode distance = λ/4   [m]
v = f·λ   [m s⁻¹]
String: v = √(T/μ) → f₁ = (1/2L)·√(T/μ)   [Hz]
Speed of sound in air ≈ 340 m s⁻¹ at room temperature   []</t>
  </si>
  <si>
    <t>• Find the fundamental frequency of a string or pipe of stated length.
• Find the first three harmonics and sketch the standing wave patterns.
• Find the length needed for a stated fundamental frequency.
• Find the wave speed from a measured harmonic frequency.
• Resonance tube: find the speed of sound from successive resonance lengths.
• Explain why a closed pipe sounds an octave lower than an open pipe of the same length.
• Find the new frequency when the tension in a string is changed.</t>
  </si>
  <si>
    <t>T1 f₁ for a stated system · T2 harmonic series, length or speed determination · T3 resonance-tube analysis, closed-vs-open comparison, tension changes</t>
  </si>
  <si>
    <t>• Believing a closed pipe supports even harmonics (it does not).
• Confusing the node–node distance (λ/2) with a full wavelength.
• Believing standing waves transfer energy along the medium (they do not).</t>
  </si>
  <si>
    <t>musical instrument design, architectural acoustics, resonance failure in structures, ultrasound imaging, laser cavities.</t>
  </si>
  <si>
    <t>PH12.4.1</t>
  </si>
  <si>
    <t>Ch4: Interference of Light Waves</t>
  </si>
  <si>
    <t>Conditions for interference</t>
  </si>
  <si>
    <t>• State the conditions for observable interference of light: coherent sources (constant phase relationship), same frequency, comparable amplitudes, and (for good contrast) the same polarisation.
• Explain why two independent light bulbs do not produce an interference pattern.
• Explain how a single source with a double slit produces coherence.</t>
  </si>
  <si>
    <t>PH12.4.2</t>
  </si>
  <si>
    <t>Young's double-slit experiment</t>
  </si>
  <si>
    <t>• Describe the double-slit arrangement and explain the formation of bright and dark fringes.
• Derive and apply the fringe-spacing relation.
• Determine wavelength from measured fringe data.
• Predict the effect on the pattern of changing λ, d, or D.</t>
  </si>
  <si>
    <t>Path difference: Δ = d·sin θ   [d = slit separation (m); θ = angle from the central axis]
Bright fringes (maxima): d·sin θ = m·λ, m = 0, ±1, ±2, ...   [m = order number]
Dark fringes (minima): d·sin θ = (m + ½)·λ   []
Small angle: y_m = m·λ·D / d   [y = distance from the central maximum (m); D = slit-to-screen distance (m)]
Fringe spacing: Δy = λ·D / d   [m]
λ = Δy·d / D   [wavelength determination]</t>
  </si>
  <si>
    <t>• Find the fringe spacing for stated λ, d, and D.
• Find the wavelength from measured fringe spacing.
• Find the position of the nth bright or dark fringe.
• Find the slit separation from the pattern.
• Predict the effect of doubling D, halving d, or switching from red to blue light.
• Find the number of fringes visible on a screen of stated width.
• Find the angular position of a stated order.</t>
  </si>
  <si>
    <t>T1 direct Δy = λD/d · T2 rearrangement, nth-fringe position · T3 effect-of-change reasoning, fringe counting, large-angle (sin θ) cases</t>
  </si>
  <si>
    <t>• Using slit *width* instead of slit *separation*.
• Mixing units (mm for d, m for D) without converting.
• Believing the central fringe is dark.</t>
  </si>
  <si>
    <t>PH12.4.3</t>
  </si>
  <si>
    <t>Light waves in interference (thin films)</t>
  </si>
  <si>
    <t>• Explain interference in thin films (oil on water, soap bubbles, anti-reflective coatings).
• Account for the phase change of π on reflection at a denser medium.
• Apply the thin-film interference conditions.</t>
  </si>
  <si>
    <t>Constructive (one phase change): 2·n·t = (m + ½)·λ   [n = film refractive index; t = film thickness (m)]
Destructive (one phase change): 2·n·t = m·λ   []
Anti-reflective coating minimum thickness: t = λ/(4·n)   [m]
Wavelength in the film: λ_film = λ_vacuum / n   [m]</t>
  </si>
  <si>
    <t>• Find the minimum film thickness for constructive or destructive reflection.
• Find the thickness of an anti-reflective coating for a stated wavelength.
• Explain the colours seen in a soap bubble or an oil film.</t>
  </si>
  <si>
    <t>T2 direct thickness · T3 phase-change reasoning, colour explanation</t>
  </si>
  <si>
    <t>PH12.4.4</t>
  </si>
  <si>
    <t>Diffraction</t>
  </si>
  <si>
    <t>• Define diffraction as the spreading of waves on passing an obstacle or through an aperture.
• State that diffraction is most pronounced when the aperture is comparable to the wavelength.
• Describe the diffraction grating and apply the grating equation.</t>
  </si>
  <si>
    <t>Grating equation: d·sin θ = m·λ   [d = grating spacing (m); m = order; θ = diffraction angle]
d = 1 / N   [N = lines per metre (m⁻¹)]
Maximum order: m_max = d / λ (take the integer part)   []</t>
  </si>
  <si>
    <t>• Find the diffraction angle for a stated order.
• Find the wavelength from a measured angle and grating spacing.
• Find the number of orders observable with a stated grating and wavelength.
• Convert lines per millimetre to grating spacing in metres.
• Explain why a grating gives sharper maxima than a double slit.</t>
  </si>
  <si>
    <t>T1 direct d sin θ = mλ · T2 lines-per-mm conversion, wavelength determination · T3 maximum-order problems, comparative grating/double-slit reasoning</t>
  </si>
  <si>
    <t>• Using lines per millimetre directly as d.
• Believing there is no limit to the number of observable orders.</t>
  </si>
  <si>
    <t>PH12.4.5</t>
  </si>
  <si>
    <t>Single-slit diffraction</t>
  </si>
  <si>
    <t>• Describe the single-slit diffraction pattern: a wide bright central maximum with narrower, dimmer subsidiary maxima.
• Apply the minima condition and calculate the central maximum width.
• Contrast the single-slit pattern with the double-slit pattern.</t>
  </si>
  <si>
    <t>Minima: a·sin θ = m·λ, m = ±1, ±2, ...   [a = slit width (m); note m = 0 gives no minimum]
Small angle: y_m = m·λ·D / a   [m]
Central maximum width = 2·λ·D / a   [m — twice the spacing of other maxima]
Angular width of the central maximum ≈ 2λ/a   [rad]</t>
  </si>
  <si>
    <t>• Find the position of the first minimum.
• Find the width of the central maximum.
• Find the slit width from a measured pattern.
• Predict the effect of narrowing the slit (the pattern spreads).</t>
  </si>
  <si>
    <t>T1 direct minima condition · T2 central-maximum width · T3 slit-width determination, comparison with double-slit</t>
  </si>
  <si>
    <t>• Applying the double-slit *maxima* condition to single-slit *minima* (the formulae look similar but describe opposite features).
• Believing narrowing the slit narrows the pattern (it widens it).</t>
  </si>
  <si>
    <t>spectroscopy and chemical analysis, CD/DVD track diffraction, anti-reflective lens coatings, optical resolution limits in telescopes and microscopes, X-ray crystallography.</t>
  </si>
  <si>
    <t>PH12.5.1</t>
  </si>
  <si>
    <t>Ch5: Magnetism</t>
  </si>
  <si>
    <t>Earth's magnetic field</t>
  </si>
  <si>
    <t>• Describe the Earth's magnetic field as approximately that of a bar magnet, and distinguish geographic from magnetic poles.
• Define magnetic declination and inclination (dip).
• Explain the origin of the field (dynamo effect) and describe the magnetosphere's protective role.</t>
  </si>
  <si>
    <t>Magnetic field of a long straight wire</t>
  </si>
  <si>
    <t>• Calculate the magnetic flux density at a distance from a long straight current-carrying wire.
• Apply the right-hand grip rule and find resultant fields from multiple wires.</t>
  </si>
  <si>
    <t>B = μ₀·I / (2π·r)   [B (T); μ₀ = 4π × 10⁻⁷ T m A⁻¹; I (A); r (m)]</t>
  </si>
  <si>
    <t>• Find B at a stated distance for a stated current.
• Find the resultant field from two or three parallel wires.
• Find the point where the resultant field is zero.
• Find the current required for a stated field.</t>
  </si>
  <si>
    <t>PH9.4.1.1, PH10.3.3.1</t>
  </si>
  <si>
    <t>Magnetic fields of current loops, solenoids and Helmholtz coils</t>
  </si>
  <si>
    <t>• Calculate the field at the centre of a circular loop or coil.
• Calculate the field inside a long solenoid.
• Describe the Helmholtz coil arrangement and its property of producing a uniform field in the central region.</t>
  </si>
  <si>
    <t>Loop centre: B = μ₀·N·I / (2·R)   [R = loop radius (m); N = turns]
Solenoid: B = μ₀·n·I = μ₀·N·I/L   [n = turns per metre (m⁻¹); L = length (m)]
Helmholtz pair (separation = R): B_centre = (8·μ₀·N·I)/(5√5·R) ≈ 0.7155·μ₀·N·I/R   [T]</t>
  </si>
  <si>
    <t>• Find the field at the centre of a circular coil from N, I, and R.
• Find the field inside a solenoid from N, L, and I.
• Find the number of turns or the current needed for a target field.
• Find the central field of a Helmholtz pair and explain why the field there is uniform.</t>
  </si>
  <si>
    <t>PH9.4.1.2, PH10.3.3.3</t>
  </si>
  <si>
    <t>Magnetic force on a current-carrying conductor</t>
  </si>
  <si>
    <t>• Calculate the force on a current-carrying conductor in a magnetic field.
• Apply Fleming's left-hand rule to determine the force direction.
• Recognise the angular dependence: maximum force when perpendicular, zero when parallel.</t>
  </si>
  <si>
    <t>F = B·I·L·sin θ   [F (N); B (T); I (A); L = length in the field (m); θ = angle between the conductor and B]
F = B·I·L   [when θ = 90°]
F = 0   [when θ = 0°]</t>
  </si>
  <si>
    <t>• Find the force on a wire at a stated angle in a stated field.
• Find the current needed to produce a stated force.
• Find the field strength from a measured force (current balance).
• Determine the force direction using Fleming's left-hand rule.
• Find the length of wire needed for a stated force.</t>
  </si>
  <si>
    <t>T1 F = BIL · T2 angled conductor, rearrangement · T3 current balance, equilibrium of a suspended wire</t>
  </si>
  <si>
    <t>• Forgetting the sin θ factor.
• Confusing Fleming's left-hand rule (motor effect) with the right-hand rule (generator effect).</t>
  </si>
  <si>
    <t>Torque on a current loop and electric motors</t>
  </si>
  <si>
    <t>• Calculate the torque on a rectangular current-carrying coil in a uniform magnetic field.
• Explain the operation of a DC motor and the role of the split-ring commutator.
• Explain the operation of a moving-coil galvanometer.</t>
  </si>
  <si>
    <t>τ = B·I·A·N·cos α   [τ (N m); A = coil area (m²); N = turns; α = angle between the coil *plane* and B]
τ = B·I·A·N·sin θ   [θ = angle between the *normal to the coil* and B]
τ_max = B·I·A·N   [when the coil plane is parallel to B]
Magnetic moment: m = N·I·A ; τ = m × B   [A m²]</t>
  </si>
  <si>
    <t>• Find the torque on a coil at a stated orientation.
• Find the maximum torque and the orientation at which it occurs.
• Find the number of turns needed for a stated torque.
• Explain why the torque varies through a rotation and how the commutator maintains rotation.</t>
  </si>
  <si>
    <t>T1 τ_max · T2 angled orientation · T3 motor design, galvanometer sensitivity</t>
  </si>
  <si>
    <t>• Confusing the angle from the coil plane with the angle from the coil normal (they give cos and sin respectively).</t>
  </si>
  <si>
    <t>PH12.5.6</t>
  </si>
  <si>
    <t>Motion of a charged particle in a magnetic field</t>
  </si>
  <si>
    <t>• Calculate the force on a moving charge in a magnetic field and determine its direction.
• Explain why a magnetic force does no work and produces circular motion when v ⊥ B.
• Calculate the radius, period, and frequency of circular motion.
• Describe the velocity selector, mass spectrometer, and cyclotron.</t>
  </si>
  <si>
    <t>F = q·v·B·sin θ   [F (N); q (C); v (m s⁻¹); B (T)]
F = q·v·B   [when v ⊥ B]
Circular motion: q·v·B = m·v²/r → r = m·v / (q·B)   [r = radius (m)]
Period: T = 2π·m / (q·B)   [s — independent of speed]
Cyclotron frequency: f = q·B / (2π·m)   [Hz]
Velocity selector: q·E = q·v·B → v = E / B   [m s⁻¹]
Mass spectrometer: m = q·B·r / v = q·B²·r / E (with a velocity selector)   [kg]</t>
  </si>
  <si>
    <t>• Find the force on an electron or proton moving in a field.
• Find the radius of the circular path for a stated particle, speed, and field.
• Find the period and frequency of circular motion.
• Find the speed selected by a stated velocity selector.
• Find the mass or charge-to-mass ratio from mass-spectrometer data.
• Determine the direction of deflection for a positive or negative charge.
• Compare the paths of particles of different mass or charge in the same field.</t>
  </si>
  <si>
    <t>T1 F = qvB · T2 radius calculation, velocity selector · T3 mass spectrometer, cyclotron, direction-of-deflection reasoning</t>
  </si>
  <si>
    <t>• Believing a magnetic force changes the particle's speed (it changes only direction, and does no work).
• Forgetting that the force on a negative charge is opposite to that predicted for a positive charge.</t>
  </si>
  <si>
    <t>PH12.5.7</t>
  </si>
  <si>
    <t>Magnetic force between two parallel conductors</t>
  </si>
  <si>
    <t>• Calculate the force per unit length between two parallel current-carrying wires.
• Determine whether the wires attract (currents in the same direction) or repel (opposite directions).
• Relate the result to the definition of the ampere.</t>
  </si>
  <si>
    <t>F/L = μ₀·I₁·I₂ / (2π·d)   [F/L = force per unit length (N m⁻¹); d = separation (m)]
F = μ₀·I₁·I₂·L / (2π·d)   [N]
Same direction → attraction · Opposite → repulsion   []</t>
  </si>
  <si>
    <t>• Find the force per metre between two wires.
• Find the separation for a stated force.
• Determine the direction (attraction or repulsion).
• Find the current in one wire given the force and the other current.</t>
  </si>
  <si>
    <t>T1 direct · T2 rearrangement · T3 three-wire net force, equilibrium problems</t>
  </si>
  <si>
    <t>busbar design in switchgear (electromagnetic forces during fault currents), railguns, magnetic levitation, particle accelerator beamline magnets, MRI gradient coils.</t>
  </si>
  <si>
    <t>PH12.6.1</t>
  </si>
  <si>
    <t>Ch6: Induced Voltages and Inductance</t>
  </si>
  <si>
    <t>Induced e.m.f. and magnetic flux</t>
  </si>
  <si>
    <t>• Define magnetic flux and magnetic flux linkage; state the units weber (Wb) and weber-turns.
• Calculate flux for a coil at any orientation to the field.
• State that an e.m.f. is induced whenever the flux linkage changes.</t>
  </si>
  <si>
    <t>Φ = B·A·cos θ   [Φ = magnetic flux (Wb); B (T); A = area (m²); θ = angle between B and the area normal]
Φ = B·A   [when B ⊥ the plane of the coil]
Flux linkage = N·Φ   [weber-turns (Wb-turns)]
1 Wb = 1 T m²   []</t>
  </si>
  <si>
    <t>• Find the flux through a coil at a stated orientation.
• Find the change in flux when the coil rotates or the field changes.
• Find the flux linkage for a coil of N turns.</t>
  </si>
  <si>
    <t>T1 Φ = BA · T2 angled orientation · T3 flux change during rotation</t>
  </si>
  <si>
    <t>• Measuring θ from the coil plane instead of from the normal to the coil.</t>
  </si>
  <si>
    <t>PH12.6.2</t>
  </si>
  <si>
    <t>Faraday's law and Lenz's law</t>
  </si>
  <si>
    <t>• State Faraday's law: the induced e.m.f. is proportional to the rate of change of flux linkage.
• State Lenz's law: the induced current opposes the change producing it, and explain it as a consequence of conservation of energy.
• Determine the direction of an induced current in a stated situation.
• Calculate the induced e.m.f. for a changing field, changing area, or rotating coil.</t>
  </si>
  <si>
    <t>ε = −N·(ΔΦ / Δt)   [ε = induced e.m.f. (V); N = turns; ΔΦ (Wb); Δt (s)]
ε = −N·A·(ΔB/Δt)   [for a changing field at constant area]
ε = −N·B·(ΔA/Δt)   [for a changing area at constant field]
Rotating coil: ε = N·B·A·ω·sin(ω·t) ; ε_peak = N·B·A·ω   [V]
Induced current: I = ε / R   [A]
Charge circulated: q = N·ΔΦ / R   [C]</t>
  </si>
  <si>
    <t>• Find the induced e.m.f. from a stated rate of change of flux.
• Find the e.m.f. induced in a coil in a field changing at a stated rate.
• Find the peak e.m.f. of a rotating coil generator.
• Determine the direction of the induced current using Lenz's law (magnet approaching or leaving a coil).
• Find the induced current and the force opposing the motion.
• Explain eddy-current braking, induction hobs, and metal detectors.</t>
  </si>
  <si>
    <t>T1 direct ε = NΔΦ/Δt · T2 changing B or A, current from ε/R · T3 rotating coil peak e.m.f., Lenz direction determination, eddy-current applications</t>
  </si>
  <si>
    <t>• Omitting the minus sign or misapplying Lenz's law direction.
• Believing a *steady* flux induces an e.m.f. (only a *changing* flux does).
• Confusing the magnitude of the flux with its rate of change.</t>
  </si>
  <si>
    <t>PH12.6.3</t>
  </si>
  <si>
    <t>Motional electromotive force</t>
  </si>
  <si>
    <t>• Derive and apply the motional e.m.f. for a conductor moving perpendicular to a magnetic field.
• Determine the polarity of the induced e.m.f. using Fleming's right-hand rule.
• Calculate the induced current, the retarding force, and the power dissipated.</t>
  </si>
  <si>
    <t>ε = B·L·v   [ε (V); B (T); L = conductor length (m); v = velocity perpendicular to B (m s⁻¹)]
ε = B·L·v·sin θ   [for velocity at angle θ to B]
I = ε / R = B·L·v / R   [A]
Retarding force: F = B·I·L = B²L²v / R   [N]
Power dissipated: P = ε²/R = (BLv)²/R   [W]</t>
  </si>
  <si>
    <t>• Find the e.m.f. induced in a rod sliding on rails.
• Find the induced current and the force needed to maintain constant velocity.
• Find the power dissipated and show it equals the mechanical power input.
• Find the e.m.f. induced across an aircraft's wingtips flying through the Earth's field.
• Find the terminal velocity of a falling conducting rod on vertical rails.</t>
  </si>
  <si>
    <t>T1 ε = BLv · T2 current and retarding force · T3 power balance, terminal velocity, energy conservation demonstration</t>
  </si>
  <si>
    <t>• Believing energy comes from nowhere (the mechanical work done against the retarding force supplies the electrical energy).</t>
  </si>
  <si>
    <t>Generators</t>
  </si>
  <si>
    <t>• Describe the construction and operation of AC and DC generators.
• Relate the output waveform to the coil orientation and rotation rate.
• Calculate the peak and r.m.s. e.m.f. of an AC generator.
• Distinguish slip rings (AC) from a split-ring commutator (DC).</t>
  </si>
  <si>
    <t>ε = N·B·A·ω·sin(ω·t)   [instantaneous e.m.f. (V)]
ε_peak = N·B·A·ω   [V]
ε_rms = ε_peak / √2   [V]
ω = 2π·f   [rad s⁻¹]
f = rotation rate   [Hz]</t>
  </si>
  <si>
    <t>• Find the peak e.m.f. from N, B, A, and the rotation rate.
• Find the rotation rate needed for a stated peak output.
• Find the instantaneous e.m.f. at a stated time.
• Predict the effect of doubling the rotation speed (peak e.m.f. and frequency both double).</t>
  </si>
  <si>
    <t>T1 ε_peak · T2 rpm → ω conversion, r.m.s. · T3 instantaneous values, design problems</t>
  </si>
  <si>
    <t>PH9.4.2.3, PH10.3.4.3</t>
  </si>
  <si>
    <t>PH12.6.5</t>
  </si>
  <si>
    <t>Self-inductance</t>
  </si>
  <si>
    <t>• Define self-inductance and state the unit henry (H).
• Calculate the back e.m.f. produced by a changing current.
• Calculate the inductance of a solenoid.
• Explain the practical consequences of back e.m.f. (sparking on switch-off, inductive spikes).</t>
  </si>
  <si>
    <t>ε = −L·(ΔI / Δt)   [ε = back e.m.f. (V); L = inductance (H); ΔI (A); Δt (s)]
L = N·Φ / I   [H]
Solenoid: L = μ₀·N²·A / l   [A = cross-sectional area (m²); l = length (m)]
1 H = 1 V s A⁻¹ = 1 Wb A⁻¹   []</t>
  </si>
  <si>
    <t>• Find the back e.m.f. for a stated rate of change of current.
• Find the inductance of a solenoid from its dimensions and turns.
• Find the rate of current change producing a stated e.m.f.
• Explain why a spark appears when an inductive circuit is switched off.</t>
  </si>
  <si>
    <t>T1 direct · T2 solenoid inductance · T3 design problems, back-e.m.f. reasoning</t>
  </si>
  <si>
    <t>• Believing inductance depends on the current (it depends on geometry and the core material).</t>
  </si>
  <si>
    <t>PH12.6.6</t>
  </si>
  <si>
    <t>RL circuits</t>
  </si>
  <si>
    <t>• Describe current growth and decay in an RL circuit and sketch the exponential curves.
• Define and calculate the time constant.
• Calculate the current at any time during growth or decay.</t>
  </si>
  <si>
    <t>Time constant: τ = L / R   [s]
Growth: I = I_max(1 − e^(−t/τ)), I_max = ε/R   [A]
Decay: I = I₀·e^(−t/τ)   [A]
After t = τ: I reaches 63 % of maximum (growth) or falls to 37 % (decay)   []</t>
  </si>
  <si>
    <t>• Find the time constant from L and R.
• Find the current at a stated time after switching on or off.
• Find the time to reach a stated fraction of the maximum current.
• Sketch or interpret the growth and decay curves.</t>
  </si>
  <si>
    <t>T1 τ = L/R · T2 current at a stated time · T3 inverse-time problems with logarithms</t>
  </si>
  <si>
    <t>PH12.6.7</t>
  </si>
  <si>
    <t>Energy stored in a magnetic field</t>
  </si>
  <si>
    <t>• Calculate the energy stored in an inductor and compare it with the energy stored in a capacitor.
• Calculate the magnetic energy density where taught.</t>
  </si>
  <si>
    <t>E = ½·L·I²   [energy stored in an inductor (J)]
Energy density: u = B² / (2·μ₀)   [J m⁻³]
Compare: capacitor E = ½·C·V²   [J]</t>
  </si>
  <si>
    <t>• Find the energy stored in an inductor carrying a stated current.
• Find the current needed to store a stated energy.
• Compare inductor and capacitor energy storage.</t>
  </si>
  <si>
    <t>PH12.6.8</t>
  </si>
  <si>
    <t>LC circuits and electromagnetic oscillations</t>
  </si>
  <si>
    <t>• Describe the energy exchange between a capacitor's electric field and an inductor's magnetic field in an LC circuit.
• Calculate the natural (resonant) frequency of an LC circuit.
• Draw the analogy with a mechanical spring–mass oscillator.</t>
  </si>
  <si>
    <t>f₀ = 1 / (2π·√(L·C))   [resonant frequency (Hz)]
ω₀ = 1 / √(L·C)   [rad s⁻¹]
T = 2π·√(L·C)   [period (s)]
Total energy: E = ½·C·V₀² = ½·L·I₀²   [J (constant in an ideal LC circuit)]</t>
  </si>
  <si>
    <t>• Find the resonant frequency from L and C.
• Find the capacitance needed to tune to a stated frequency (radio tuning).
• Find the maximum current from the maximum voltage using energy conservation.
• Explain the energy exchange over one cycle.</t>
  </si>
  <si>
    <t>T1 direct f₀ · T2 rearrangement for L or C · T3 energy exchange, tuning-range design</t>
  </si>
  <si>
    <t>radio and TV tuning circuits, wireless charging, RFID, induction heating, transformer and motor design, regenerative braking.</t>
  </si>
  <si>
    <t>Ch7: Alternating Current</t>
  </si>
  <si>
    <t>Resistors in an AC circuit</t>
  </si>
  <si>
    <t>• State that current and voltage are in phase for a pure resistor in an AC circuit.
• Apply Ohm's law with r.m.s. values and calculate average power dissipation.
• Convert between peak and r.m.s. values.</t>
  </si>
  <si>
    <t>v = V_peak·sin(ω·t) ; i = I_peak·sin(ω·t)   [in phase (phase difference 0)]
V_rms = V_peak/√2 ; I_rms = I_peak/√2   [V, A]
V_rms = I_rms·R   [V]
P_average = I_rms²·R = V_rms·I_rms = V_rms²/R   [W]
P_average = ½·V_peak·I_peak   [W]</t>
  </si>
  <si>
    <t>• Convert between peak and r.m.s. voltage and current.
• Find the r.m.s. current through a resistor for a stated AC supply.
• Find the average power dissipated in a resistor.
• Read peak voltage and period from an oscilloscope trace, then find V_rms and f.</t>
  </si>
  <si>
    <t>PH12.7.2</t>
  </si>
  <si>
    <t>Capacitors in an AC circuit</t>
  </si>
  <si>
    <t>• State that the current *leads* the voltage by 90° (π/2) in a pure capacitor.
• Define and calculate capacitive reactance and its frequency dependence.
• State that a pure capacitor dissipates no average power.</t>
  </si>
  <si>
    <t>X_C = 1 / (2π·f·C) = 1/(ω·C)   [X_C = capacitive reactance (Ω); f (Hz); C (F)]
V_rms = I_rms·X_C   [V]
Current leads voltage by 90°   [phase]
X_C ∝ 1/f — a capacitor blocks DC and passes high frequencies   []
Average power = 0   [W]</t>
  </si>
  <si>
    <t>• Find X_C at a stated frequency.
• Find the current through a capacitor for a stated AC voltage.
• Find the capacitance needed for a stated reactance.
• Explain why a capacitor blocks DC.</t>
  </si>
  <si>
    <t>T1 direct X_C · T2 current calculation, rearrangement · T3 frequency-response reasoning, filter design</t>
  </si>
  <si>
    <t>PH12.7.3</t>
  </si>
  <si>
    <t>Inductors in an AC circuit</t>
  </si>
  <si>
    <t>• State that the current *lags* the voltage by 90° (π/2) in a pure inductor.
• Define and calculate inductive reactance and its frequency dependence.
• State that a pure inductor dissipates no average power.</t>
  </si>
  <si>
    <t>X_L = 2π·f·L = ω·L   [X_L = inductive reactance (Ω); L (H)]
V_rms = I_rms·X_L   [V]
Current lags voltage by 90°   [phase]
X_L ∝ f — an inductor passes DC and blocks high frequencies   []
Average power = 0   [W]</t>
  </si>
  <si>
    <t>• Find X_L at a stated frequency.
• Find the current through an inductor for a stated AC voltage.
• Compare X_L and X_C behaviour with frequency.</t>
  </si>
  <si>
    <t>PH12.7.4</t>
  </si>
  <si>
    <t>The series RLC circuit</t>
  </si>
  <si>
    <t>• Calculate the impedance of a series RLC circuit and the phase angle between current and voltage.
• Construct a phasor diagram for a series RLC circuit.
• Calculate the current, the voltage across each element, and the true power and power factor.</t>
  </si>
  <si>
    <t>Z = √(R² + (X_L − X_C)²)   [Z = impedance (Ω)]
I_rms = V_rms / Z   [A]
tan φ = (X_L − X_C) / R   [φ = phase angle (degrees or rad)]
cos φ = R / Z   [power factor (dimensionless)]
P_true = V_rms·I_rms·cos φ = I_rms²·R   [W]
V_R = I·R ; V_L = I·X_L ; V_C = I·X_C   [V]
V_total = √(V_R² + (V_L − V_C)²)   [V — note the voltages add as phasors, not arithmetically]</t>
  </si>
  <si>
    <t>• Find X_L, X_C, and Z for a stated circuit and frequency.
• Find the current and the voltage across each element.
• Find the phase angle and state whether the circuit is inductive or capacitive.
• Find the power factor and the true power.
• Show that the individual voltages can each exceed the supply voltage (a classic surprise result).
• Construct or interpret a phasor diagram.</t>
  </si>
  <si>
    <t>T1 reactance calculation · T2 impedance and current · T3 full analysis with phase angle, power factor, and phasor diagram</t>
  </si>
  <si>
    <t>• Adding V_R, V_L, and V_C arithmetically instead of as phasors.
• Adding R, X_L, and X_C arithmetically to find Z.
• Believing V_L or V_C can never exceed the supply voltage (near resonance they can, greatly).</t>
  </si>
  <si>
    <t>PH12.7.5</t>
  </si>
  <si>
    <t>Resonance in a series RLC circuit</t>
  </si>
  <si>
    <t>• Define the resonance condition X_L = X_C and derive the resonant frequency.
• State that at resonance impedance is minimum (Z = R), current is maximum, and the phase angle is zero.
• Sketch and interpret the resonance curve and describe the effect of R on sharpness (Q factor).
• Explain the application of resonance to radio tuning.</t>
  </si>
  <si>
    <t>At resonance: X_L = X_C   [Ω]
f₀ = 1 / (2π·√(L·C))   [resonant frequency (Hz)]
At resonance: Z = R (minimum) ; I = V/R (maximum) ; φ = 0 ; power factor = 1   []
Quality factor: Q = (1/R)·√(L/C) = ω₀L/R   [dimensionless]
Bandwidth: Δf = f₀ / Q   [Hz]</t>
  </si>
  <si>
    <t>• Find the resonant frequency from L and C.
• Find the capacitance needed to tune to a stated station frequency.
• Find the maximum current at resonance.
• Find the Q factor and the bandwidth.
• Explain the sharpness of tuning in terms of R.</t>
  </si>
  <si>
    <t>T1 direct f₀ · T2 rearrangement, current at resonance · T3 Q factor, bandwidth, tuning-circuit design</t>
  </si>
  <si>
    <t>• Believing impedance is maximum at resonance in a *series* circuit (it is minimum; the parallel case is the opposite).</t>
  </si>
  <si>
    <t>The transformer and power transmission</t>
  </si>
  <si>
    <t>• Explain transformer operation, the turns-ratio relation, and the ideal power relation.
• Calculate transformer efficiency and identify the causes of losses.
• Explain and quantify why power is transmitted at high voltage.</t>
  </si>
  <si>
    <t>V_s/V_p = N_s/N_p   [volts and turns]
Ideal: V_p·I_p = V_s·I_s   [W]
I_s/I_p = N_p/N_s   []
Efficiency = (V_s·I_s)/(V_p·I_p) × 100 %   []
Transmission loss: P_loss = I²·R_line   [W]
I = P/V so P_loss = (P/V)²·R = P²R/V²   [W]
Percentage loss = P_loss / P_transmitted × 100 %   []</t>
  </si>
  <si>
    <t>• Find the secondary voltage, current, or turns for an ideal transformer.
• Find efficiency and power loss for a real transformer.
• Compare transmission losses at 11 kV, 132 kV, and 400 kV for the same delivered power.
• Multi-stage grid problem: step-up, transmit, step-down, and find the final delivered power.
• Find the minimum transmission voltage for a stated maximum percentage loss.</t>
  </si>
  <si>
    <t>T1 turns ratio · T2 efficiency, single-stage loss · T3 full grid chain, design-for-loss-limit</t>
  </si>
  <si>
    <t>the national grid, HVDC links, substation design, phone chargers and switch-mode supplies, welding and induction furnaces.</t>
  </si>
  <si>
    <t>PH9.4.2.4, PH10.3.4.6</t>
  </si>
  <si>
    <t>PH12.8.1.1</t>
  </si>
  <si>
    <t>Ch8: Modern Physics</t>
  </si>
  <si>
    <t>L1: Solid-State Physics</t>
  </si>
  <si>
    <t>Semiconductors</t>
  </si>
  <si>
    <t>• Distinguish conductors, semiconductors, and insulators using the energy-band model (valence band, conduction band, band gap).
• Explain intrinsic conduction by electrons and holes.
• Explain n-type and p-type doping and identify common dopants (Group V donors: phosphorus, arsenic; Group III acceptors: boron, gallium).
• Explain why a semiconductor's resistance *decreases* with rising temperature, unlike a metal's.</t>
  </si>
  <si>
    <t>• Classify a material from its band gap.
• Determine the type of semiconductor produced by a stated dopant.
• Explain the temperature dependence of resistance and contrast with a metal.</t>
  </si>
  <si>
    <t>T1 classification · T2 doping determination · T3 temperature-dependence reasoning</t>
  </si>
  <si>
    <t>• n-type material is negatively charged overall (it is electrically neutral; it simply has electrons as majority carriers).
• Holes are physical particles (they are the absence of an electron, behaving as a positive carrier).</t>
  </si>
  <si>
    <t>PH12.8.1.2</t>
  </si>
  <si>
    <t>The diode</t>
  </si>
  <si>
    <t>• Describe the p–n junction, the depletion region, and the potential barrier.
• Explain forward and reverse bias and sketch the diode I–V characteristic.
• Describe half-wave and full-wave rectification and the role of a smoothing capacitor.
• Describe the LED, photodiode, and Zener diode.</t>
  </si>
  <si>
    <t>Forward voltage drop: ≈ 0.7 V (silicon), ≈ 0.3 V (germanium)   [V]
LED photon energy: E = h·f = h·c/λ ≈ e·V_forward   [h = 6.63 × 10⁻³⁴ J s]</t>
  </si>
  <si>
    <t>• Determine whether a diode conducts for a stated bias.
• Sketch the output waveform of a half-wave or full-wave rectifier.
• Find the current in a series diode-and-resistor circuit accounting for the forward drop.
• Find the LED emission wavelength from its forward voltage.</t>
  </si>
  <si>
    <t>T1 bias determination · T2 rectifier waveform, circuit current · T3 LED wavelength, smoothing analysis</t>
  </si>
  <si>
    <t>PH12.8.1.3</t>
  </si>
  <si>
    <t>The transistor</t>
  </si>
  <si>
    <t>• Describe the structure of an npn and a pnp bipolar junction transistor and name the three terminals.
• Explain the transistor as a current amplifier and as a switch.
• Calculate the current gain and apply the current relation.</t>
  </si>
  <si>
    <t>I_E = I_B + I_C   [currents in amperes (A)]
β (h_FE) = I_C / I_B   [DC current gain (dimensionless)]
I_C = β·I_B   [A]
Voltage gain (common emitter) ≈ R_C / R_E   [approximate]</t>
  </si>
  <si>
    <t>• Find the collector current from the base current and gain.
• Find the base current needed to switch a stated load.
• Find the current gain from measured currents.
• Explain the operation of a transistor switch in a light- or temperature-activated circuit.</t>
  </si>
  <si>
    <t>T1 I_C = βI_B · T2 base-resistor sizing · T3 sensor-switch circuit analysis</t>
  </si>
  <si>
    <t>integrated circuits and microprocessors, solar cells, LED lighting, power electronics, sensors and automation.</t>
  </si>
  <si>
    <t>PH12.8.2.1</t>
  </si>
  <si>
    <t>L2: Special Theory of Relativity</t>
  </si>
  <si>
    <t>Inertial reference frames and Galilean relativity</t>
  </si>
  <si>
    <t>• Define an inertial reference frame and state the Galilean principle of relativity.
• Apply Galilean velocity addition and explain its failure at speeds approaching c.</t>
  </si>
  <si>
    <t>Galilean: x' = x − v·t ; t' = t   [m, s]
Galilean velocity addition: u' = u − v   [m s⁻¹]</t>
  </si>
  <si>
    <t>• Transform a position or velocity between two frames using the Galilean equations.
• Add two velocities classically and compare with the relativistic result.
• Identify whether a described frame is inertial.
• Explain why Galilean velocity addition fails for light.</t>
  </si>
  <si>
    <t>PH12.8.2.2</t>
  </si>
  <si>
    <t>The speed of light and the Michelson–Morley experiment</t>
  </si>
  <si>
    <t>• Describe the aether hypothesis and the design and null result of the Michelson–Morley experiment.
• Explain the significance of the null result for classical physics.</t>
  </si>
  <si>
    <t>PH12.8.2.3</t>
  </si>
  <si>
    <t>Einstein's postulates and their consequences</t>
  </si>
  <si>
    <t>• State Einstein's two postulates: the laws of physics are identical in all inertial frames, and the speed of light in a vacuum is the same for all inertial observers.
• Calculate the Lorentz factor.
• Apply time dilation, length contraction, relativistic mass, and mass–energy equivalence.
• Describe experimental evidence (muon lifetime, particle accelerators, GPS corrections).</t>
  </si>
  <si>
    <t>Lorentz factor: γ = 1/√(1 − v²/c²)   [dimensionless; c = 3.0 × 10⁸ m s⁻¹]
Time dilation: Δt = γ·Δt₀   [Δt₀ = proper time in the moving frame (s)]
Length contraction: L = L₀ / γ   [L₀ = proper length (m)]
Relativistic mass: m = γ·m₀   [kg]
Total energy: E = γ·m₀·c²   [J]
Rest energy: E₀ = m₀·c²   [J]
Kinetic energy: E_k = (γ − 1)·m₀·c²   [J]
Relativistic momentum: p = γ·m₀·v   [kg m s⁻¹]
E² = (p·c)² + (m₀·c²)²   [energy–momentum relation]</t>
  </si>
  <si>
    <t>• Find γ for a stated speed (as a fraction of c).
• Find the dilated time for a stated proper time and speed.
• Find the contracted length of a moving object.
• Find the speed at which time runs at half rate, or length is halved.
• Find the rest energy of a particle and convert to MeV.
• Find the energy released in a stated mass defect (nuclear reaction).
• Muon decay: explain how muons reach the ground using either time dilation or length contraction.</t>
  </si>
  <si>
    <t>T1 γ calculation · T2 time dilation and length contraction · T3 inverse-speed problems, energy calculations, frame-comparison reasoning</t>
  </si>
  <si>
    <t>• Believing relativistic effects are illusions rather than real, measured effects.
• Confusing which observer measures the proper time (the one for whom the two events occur at the same place).
• Believing objects can be accelerated to or beyond c.</t>
  </si>
  <si>
    <t>PH12.8.2.4</t>
  </si>
  <si>
    <t>Lorentz transformation equations</t>
  </si>
  <si>
    <t>• State the Lorentz transformations for space and time coordinates.
• Apply relativistic velocity addition and show that c is invariant.</t>
  </si>
  <si>
    <t>x' = γ(x − v·t)   [m]
t' = γ(t − v·x/c²)   [s]
Velocity addition: u' = (u − v) / (1 − u·v/c²)   [m s⁻¹]</t>
  </si>
  <si>
    <t>• Transform an event's coordinates between two frames.
• Add two relativistic velocities and show the result never exceeds c.
• Show that a light pulse travels at c in both frames.</t>
  </si>
  <si>
    <t>PH12.8.3.1</t>
  </si>
  <si>
    <t>L3: Atomic Structure</t>
  </si>
  <si>
    <t>The electron</t>
  </si>
  <si>
    <t>• Describe Thomson's cathode-ray experiment and the determination of the charge-to-mass ratio.
• Describe Millikan's oil-drop experiment and the determination of the elementary charge.
• State the electron's charge and mass.</t>
  </si>
  <si>
    <t>e = 1.6 × 10⁻¹⁹ C ; m_e = 9.11 × 10⁻³¹ kg   []
e/m_e = 1.76 × 10¹¹ C kg⁻¹   []
Millikan: q·E = m·g → q = m·g·d/V   [C]
Accelerated electron: ½m_e·v² = e·V → v = √(2eV/m_e)   [m s⁻¹]</t>
  </si>
  <si>
    <t>• Find the speed of an electron accelerated through a stated p.d.
• Find the charge on a balanced oil drop.
• Find e/m from deflection data.</t>
  </si>
  <si>
    <t>PH12.8.3.2</t>
  </si>
  <si>
    <t>The nucleus</t>
  </si>
  <si>
    <t>• Describe the Rutherford (Geiger–Marsden) alpha-scattering experiment and the conclusions drawn about the nuclear atom.
• Define atomic number, mass number, isotopes, and nuclide notation.
• Estimate the size of the nucleus relative to the atom.</t>
  </si>
  <si>
    <t>Nuclide notation: ᴬ_Z X — A = mass number, Z = atomic number   []
Number of neutrons N = A − Z   []
Nuclear radius: R = R₀·A^(1/3), R₀ ≈ 1.2 × 10⁻¹⁵ m   [m]
Nuclear diameter ≈ 10⁻¹⁵ m vs atomic diameter ≈ 10⁻¹⁰ m   [ratio ≈ 1 : 100 000]</t>
  </si>
  <si>
    <t>• Determine protons, neutrons, and electrons from nuclide notation.
• Estimate a nuclear radius from the mass number.
• Explain each observation of the alpha-scattering experiment and the conclusion it supports.</t>
  </si>
  <si>
    <t>T1 nuclide reading · T2 radius estimation · T3 experiment-to-conclusion reasoning</t>
  </si>
  <si>
    <t>• Most alpha particles were deflected in Rutherford's experiment (the great majority passed straight through — that was the key finding).</t>
  </si>
  <si>
    <t>PH12.8.3.3</t>
  </si>
  <si>
    <t>The Bohr model of the atom</t>
  </si>
  <si>
    <t>• State the postulates of the Bohr model: quantised orbits, quantised angular momentum, and photon emission or absorption on transitions.
• Calculate the energy levels of hydrogen and the photon energy, frequency, and wavelength for a stated transition.
• Explain emission and absorption line spectra and identify the Lyman, Balmer, and Paschen series.
• State the limitations of the Bohr model.</t>
  </si>
  <si>
    <t>Angular momentum quantisation: m·v·r = n·h/(2π)   [n = 1, 2, 3, ...; h = 6.63 × 10⁻³⁴ J s]
Hydrogen energy levels: E_n = −13.6 / n² eV   [eV; multiply by 1.6 × 10⁻¹⁹ for joules]
Photon energy: ΔE = E_final − E_initial = h·f   [J]
E = h·f = h·c / λ   [J; c = 3.0 × 10⁸ m s⁻¹]
λ = h·c / ΔE   [m]
Rydberg: 1/λ = R_H(1/n₁² − 1/n₂²), R_H = 1.097 × 10⁷ m⁻¹   [m⁻¹]
Orbit radius: r_n = n²·a₀, a₀ = 5.29 × 10⁻¹¹ m   [m]
Ionisation energy of hydrogen (n = 1 → ∞) = 13.6 eV   []</t>
  </si>
  <si>
    <t>• Find the energy of a stated hydrogen level.
• Find the photon energy, frequency, and wavelength for a stated transition.
• Identify the spectral series from the final level (n = 1 Lyman, n = 2 Balmer, n = 3 Paschen).
• Find the ionisation energy from a stated level.
• Determine which transitions are possible from an excited state and how many lines result.
• Convert between eV and joules and between energy and wavelength.</t>
  </si>
  <si>
    <t>T1 E_n calculation · T2 transition energy and wavelength · T3 series identification, multi-line counting, ionisation and excitation reasoning</t>
  </si>
  <si>
    <t>• Treating energy levels as positive (they are negative, with zero at ionisation).
• Sign errors in ΔE giving a negative wavelength.
• Believing electrons physically orbit like planets (the Bohr model is a useful but superseded approximation).</t>
  </si>
  <si>
    <t>lasers and laser spectroscopy, fluorescent and LED lighting, astronomical spectroscopy and stellar composition, atomic clocks, medical imaging.</t>
  </si>
  <si>
    <t>Relation</t>
  </si>
  <si>
    <t>Symbols and Units</t>
  </si>
  <si>
    <t>Note</t>
  </si>
  <si>
    <t>θ = [(l_θ − l₀) / (l₁₀₀ − l₀)] × 100 °C</t>
  </si>
  <si>
    <t>θ = temperature (°C); l_θ = thread length at unknown temperature (cm or mm); l₀ = length at ice point; l₁₀₀ = length at steam point</t>
  </si>
  <si>
    <t>T(K) = θ(°C) + 273</t>
  </si>
  <si>
    <t>T = absolute temperature (K); θ = Celsius temperature (°C)</t>
  </si>
  <si>
    <t>θ(°C) = T(K) − 273</t>
  </si>
  <si>
    <t>θ(°F) = (9/5)·θ(°C) + 32</t>
  </si>
  <si>
    <t>θ(°F) = Fahrenheit temperature</t>
  </si>
  <si>
    <t>θ(°C) = (5/9)·[θ(°F) − 32]</t>
  </si>
  <si>
    <t>ΔT(K) = Δθ(°C)</t>
  </si>
  <si>
    <t>temperature *differences* are numerically equal in K and °C</t>
  </si>
  <si>
    <t>Q = m·c·Δθ</t>
  </si>
  <si>
    <t>Q = heat energy (J); m = mass (kg); c = specific heat capacity (J kg⁻¹ K⁻¹); Δθ = temperature change (K or °C)</t>
  </si>
  <si>
    <t>c = Q / (m·Δθ)</t>
  </si>
  <si>
    <t>Δθ = Q / (m·c)</t>
  </si>
  <si>
    <t>θ_final = θ_initial ± Δθ</t>
  </si>
  <si>
    <t>sign set by heating (+) or cooling (−)</t>
  </si>
  <si>
    <t>C = m·c</t>
  </si>
  <si>
    <t>C = thermal capacity (J K⁻¹); m = mass (kg); c = specific heat capacity (J kg⁻¹ K⁻¹)</t>
  </si>
  <si>
    <t>Q = C·Δθ</t>
  </si>
  <si>
    <t>ΔL = α·L₀·Δθ</t>
  </si>
  <si>
    <t>ΔL = change in length (m); α = linear expansivity (K⁻¹); L₀ = original length (m); Δθ = temperature change (K)</t>
  </si>
  <si>
    <t>L = L₀(1 + α·Δθ)</t>
  </si>
  <si>
    <t>final length</t>
  </si>
  <si>
    <t>Q = n·e</t>
  </si>
  <si>
    <t>Q = charge (C); n = number of elementary charges; e = 1.6 × 10⁻¹⁹ C</t>
  </si>
  <si>
    <t>I = Q / t</t>
  </si>
  <si>
    <t>I = current (A); Q = charge (C); t = time (s)</t>
  </si>
  <si>
    <t>Q = I·t</t>
  </si>
  <si>
    <t>t = Q / I</t>
  </si>
  <si>
    <t>links to number of electrons, e = 1.6 × 10⁻¹⁹ C</t>
  </si>
  <si>
    <t>Series: I₁ = I₂ = I₃ = I</t>
  </si>
  <si>
    <t>all currents in amperes (A)</t>
  </si>
  <si>
    <t>Parallel: I_total = I₁ + I₂ + I₃</t>
  </si>
  <si>
    <t>V = W / Q</t>
  </si>
  <si>
    <t>V = potential difference (V); W = energy transferred (J); Q = charge (C)</t>
  </si>
  <si>
    <t>W = Q·V</t>
  </si>
  <si>
    <t>W = V·I·t</t>
  </si>
  <si>
    <t>combining with Q = It</t>
  </si>
  <si>
    <t>V_total = V₁ + V₂ + ... + Vₙ (aiding)</t>
  </si>
  <si>
    <t>volts (V)</t>
  </si>
  <si>
    <t>V_total = ΣV_forward − ΣV_reversed</t>
  </si>
  <si>
    <t>for cells in opposition</t>
  </si>
  <si>
    <t>n identical cells: V_total = n·V</t>
  </si>
  <si>
    <t>V_total = V (identical cells in parallel)</t>
  </si>
  <si>
    <t>Lifetime multiplied by n for n identical cells</t>
  </si>
  <si>
    <t>Series: V_supply = V₁ + V₂ + V₃</t>
  </si>
  <si>
    <t>Parallel: V₁ = V₂ = V_supply</t>
  </si>
  <si>
    <t>R = V / I</t>
  </si>
  <si>
    <t>R = resistance (Ω); V = potential difference (V); I = current (A)</t>
  </si>
  <si>
    <t>R ∝ L (length) and R ∝ 1/A (cross-sectional area)</t>
  </si>
  <si>
    <t>qualitative proportionality</t>
  </si>
  <si>
    <t>V = I·R</t>
  </si>
  <si>
    <t>V (V), I (A), R (Ω)</t>
  </si>
  <si>
    <t>I = V / R and R = V / I</t>
  </si>
  <si>
    <t>Gradient of I–V graph = 1/R</t>
  </si>
  <si>
    <t>for an ohmic conductor</t>
  </si>
  <si>
    <t>R_s = R₁ + R₂ + ... + Rₙ</t>
  </si>
  <si>
    <t>ohms (Ω)</t>
  </si>
  <si>
    <t>V₁ / V₂ = R₁ / R₂</t>
  </si>
  <si>
    <t>potential divider ratio</t>
  </si>
  <si>
    <t>V₁ = V_supply × R₁/(R₁ + R₂)</t>
  </si>
  <si>
    <t>potential divider formula</t>
  </si>
  <si>
    <t>1/R_p = 1/R₁ + 1/R₂ + ... + 1/Rₙ</t>
  </si>
  <si>
    <t>Two resistors: R_p = (R₁·R₂)/(R₁ + R₂)</t>
  </si>
  <si>
    <t>product-over-sum shortcut</t>
  </si>
  <si>
    <t>n identical resistors: R_p = R/n</t>
  </si>
  <si>
    <t>I₁ = V/R₁, I₂ = V/R₂, I_total = I₁ + I₂</t>
  </si>
  <si>
    <t>branch currents</t>
  </si>
  <si>
    <t>W = m·g</t>
  </si>
  <si>
    <t>W = weight (N); m = mass (kg); g = gravitational field strength (N kg⁻¹)</t>
  </si>
  <si>
    <t>m = W / g</t>
  </si>
  <si>
    <t>p = F / A</t>
  </si>
  <si>
    <t>p = pressure (Pa); F = normal force (N); A = area (m²)</t>
  </si>
  <si>
    <t>F = p·A</t>
  </si>
  <si>
    <t>A = F / p</t>
  </si>
  <si>
    <t>1 Pa = 1 N m⁻² · 1 kPa = 10³ Pa</t>
  </si>
  <si>
    <t>unit conversions; 1 cm² = 1 × 10⁻⁴ m²</t>
  </si>
  <si>
    <t>p = ρ·g·h</t>
  </si>
  <si>
    <t>p = liquid (gauge) pressure (Pa); ρ = density (kg m⁻³); g = 9.8 N kg⁻¹; h = depth below surface (m)</t>
  </si>
  <si>
    <t>p_total = p_atmosphere + ρ·g·h</t>
  </si>
  <si>
    <t>absolute pressure</t>
  </si>
  <si>
    <t>h = p / (ρ·g) · ρ = p / (g·h)</t>
  </si>
  <si>
    <t>rearrangements</t>
  </si>
  <si>
    <t>ρ = m / V</t>
  </si>
  <si>
    <t>density definition; m (kg), V (m³)</t>
  </si>
  <si>
    <t>F₁/A₁ = F₂/A₂</t>
  </si>
  <si>
    <t>F = force (N); A = piston area (m²)</t>
  </si>
  <si>
    <t>F₂ = F₁ × (A₂/A₁)</t>
  </si>
  <si>
    <t>force multiplication</t>
  </si>
  <si>
    <t>A₁·d₁ = A₂·d₂</t>
  </si>
  <si>
    <t>volume conservation; d = piston displacement (m)</t>
  </si>
  <si>
    <t>F₁·d₁ = F₂·d₂</t>
  </si>
  <si>
    <t>work conservation (ideal system)</t>
  </si>
  <si>
    <t>Mechanical advantage = F₂/F₁ = A₂/A₁ = (r₂/r₁)²</t>
  </si>
  <si>
    <t>for circular pistons of radius r</t>
  </si>
  <si>
    <t>1 atm = 1.013 × 10⁵ Pa = 760 mmHg</t>
  </si>
  <si>
    <t>p = ρ·g·h (for the mercury column)</t>
  </si>
  <si>
    <t>p_atm = ρ_Hg·g·h</t>
  </si>
  <si>
    <t>h = barometric height (m)</t>
  </si>
  <si>
    <t>Manometer: p_gas = p_atm ± ρ·g·h</t>
  </si>
  <si>
    <t>sign depends on which arm is higher</t>
  </si>
  <si>
    <t>v = d / t</t>
  </si>
  <si>
    <t>v = speed (m s⁻¹); d = distance (m); t = time (s)</t>
  </si>
  <si>
    <t>d = v·t · t = d / v</t>
  </si>
  <si>
    <t>average speed = total distance / total time</t>
  </si>
  <si>
    <t>1 m s⁻¹ = 3.6 km h⁻¹</t>
  </si>
  <si>
    <t>conversion</t>
  </si>
  <si>
    <t>v = s / t</t>
  </si>
  <si>
    <t>v = velocity (m s⁻¹, with direction); s = displacement (m, with direction)</t>
  </si>
  <si>
    <t>Δv = v_final − v_initial</t>
  </si>
  <si>
    <t>attention to sign for direction</t>
  </si>
  <si>
    <t>a = (v − u) / t</t>
  </si>
  <si>
    <t>a = acceleration (m s⁻²); v = final velocity (m s⁻¹); u = initial velocity (m s⁻¹); t = time (s)</t>
  </si>
  <si>
    <t>a = Δv / Δt</t>
  </si>
  <si>
    <t>v = u + a·t</t>
  </si>
  <si>
    <t>speed = gradient = Δd / Δt</t>
  </si>
  <si>
    <t>m s⁻¹</t>
  </si>
  <si>
    <t>acceleration = gradient = Δv / Δt</t>
  </si>
  <si>
    <t>m s⁻²</t>
  </si>
  <si>
    <t>displacement = area under graph</t>
  </si>
  <si>
    <t>m — decompose into triangles and rectangles</t>
  </si>
  <si>
    <t>Area of triangle = ½·base·height · Area of rectangle = base × height</t>
  </si>
  <si>
    <t>Trapezium area = ½(u + v)·t</t>
  </si>
  <si>
    <t>u, v = initial/final velocity (m s⁻¹); a (m s⁻²); t (s)</t>
  </si>
  <si>
    <t>s</t>
  </si>
  <si>
    <t>s = u·t + ½·a·t²</t>
  </si>
  <si>
    <t>s = displacement (m)</t>
  </si>
  <si>
    <t>v</t>
  </si>
  <si>
    <t>v² = u² + 2·a·s</t>
  </si>
  <si>
    <t>t</t>
  </si>
  <si>
    <t>s = ½(u + v)·t</t>
  </si>
  <si>
    <t>a</t>
  </si>
  <si>
    <t>v = u + g·t</t>
  </si>
  <si>
    <t>taking downwards as positive</t>
  </si>
  <si>
    <t>h = u·t + ½·g·t²</t>
  </si>
  <si>
    <t>h = fall height (m)</t>
  </si>
  <si>
    <t>v² = u² + 2·g·h</t>
  </si>
  <si>
    <t>Dropped from rest: v = g·t · h = ½·g·t² · v = √(2gh)</t>
  </si>
  <si>
    <t>u = 0</t>
  </si>
  <si>
    <t>Time to rise to maximum height: t = u/g</t>
  </si>
  <si>
    <t>thrown upwards, v = 0 at the top</t>
  </si>
  <si>
    <t>Maximum height: h_max = u²/(2g)</t>
  </si>
  <si>
    <t>Horizontal: x = u_x·t</t>
  </si>
  <si>
    <t>x = range (m); u_x = horizontal velocity (m s⁻¹)</t>
  </si>
  <si>
    <t>Vertical: y = ½·g·t²</t>
  </si>
  <si>
    <t>y = fall height (m)</t>
  </si>
  <si>
    <t>Vertical velocity: v_y = g·t</t>
  </si>
  <si>
    <t>Time of flight (horizontal launch): t = √(2y/g)</t>
  </si>
  <si>
    <t>Resultant impact speed: v = √(u_x² + v_y²)</t>
  </si>
  <si>
    <t>Impact angle below horizontal: tan θ = v_y / u_x</t>
  </si>
  <si>
    <t>W (N); m (kg); g = 9.8 m s⁻² or N kg⁻¹</t>
  </si>
  <si>
    <t>1 N = 1 kg m s⁻²</t>
  </si>
  <si>
    <t>definition</t>
  </si>
  <si>
    <t>F = k·x</t>
  </si>
  <si>
    <t>F = applied force (N); k = spring constant (N m⁻¹); x = extension (m)</t>
  </si>
  <si>
    <t>k = F / x = gradient of the force–extension graph</t>
  </si>
  <si>
    <t>x = F / k</t>
  </si>
  <si>
    <t>x = L_final − L_original</t>
  </si>
  <si>
    <t>extension is the *change* in length</t>
  </si>
  <si>
    <t>Same direction: F_R = F₁ + F₂</t>
  </si>
  <si>
    <t>newtons (N)</t>
  </si>
  <si>
    <t>Opposite direction: F_R = F₁ − F₂ (in the direction of the larger)</t>
  </si>
  <si>
    <t>Perpendicular: F_R = √(F₁² + F₂²), tan θ = F₂/F₁</t>
  </si>
  <si>
    <t>θ = angle from F₁</t>
  </si>
  <si>
    <t>F_R = √(F₁² + F₂² + 2·F₁·F₂·cos θ)</t>
  </si>
  <si>
    <t>θ = angle between the two forces</t>
  </si>
  <si>
    <t>Scale drawing: choose a scale (e.g. 1 cm = 10 N), draw to scale, measure the diagonal</t>
  </si>
  <si>
    <t>F = m·a</t>
  </si>
  <si>
    <t>F = resultant force (N); m = mass (kg); a = acceleration (m s⁻²)</t>
  </si>
  <si>
    <t>a = F / m · m = F / a</t>
  </si>
  <si>
    <t>F_resultant = F_applied − F_friction</t>
  </si>
  <si>
    <t>for horizontal motion with friction</t>
  </si>
  <si>
    <t>Connected bodies: a = F_total / m_total</t>
  </si>
  <si>
    <t>W = F·d</t>
  </si>
  <si>
    <t>W = work done (J); F = force (N); d = distance moved in the direction of the force (m)</t>
  </si>
  <si>
    <t>W = F·d·cos θ</t>
  </si>
  <si>
    <t>θ = angle between force and displacement (where taught)</t>
  </si>
  <si>
    <t>Work against gravity: W = m·g·h</t>
  </si>
  <si>
    <t>h = vertical height gained (m)</t>
  </si>
  <si>
    <t>P = W / t</t>
  </si>
  <si>
    <t>P = power (W); W = work or energy (J); t = time (s)</t>
  </si>
  <si>
    <t>P = E / t</t>
  </si>
  <si>
    <t>P = F·v</t>
  </si>
  <si>
    <t>for constant velocity; v = speed (m s⁻¹)</t>
  </si>
  <si>
    <t>Efficiency = (useful energy output / total energy input) × 100 %</t>
  </si>
  <si>
    <t>dimensionless percentage</t>
  </si>
  <si>
    <t>Efficiency = (useful power output / total power input) × 100 %</t>
  </si>
  <si>
    <t>E_k = ½·m·v²</t>
  </si>
  <si>
    <t>E_k = kinetic energy (J); m = mass (kg); v = speed (m s⁻¹)</t>
  </si>
  <si>
    <t>v = √(2·E_k / m)</t>
  </si>
  <si>
    <t>m = 2·E_k / v²</t>
  </si>
  <si>
    <t>W = ΔE_k = ½mv² − ½mu²</t>
  </si>
  <si>
    <t>work–energy theorem</t>
  </si>
  <si>
    <t>E_p = m·g·h</t>
  </si>
  <si>
    <t>E_p = gravitational potential energy (J); m (kg); g = 9.8 m s⁻² ; h = height above reference (m)</t>
  </si>
  <si>
    <t>ΔE_p = m·g·Δh</t>
  </si>
  <si>
    <t>h = E_p / (m·g)</t>
  </si>
  <si>
    <t>E_p(initial) + E_k(initial) = E_p(final) + E_k(final)</t>
  </si>
  <si>
    <t>joules (J)</t>
  </si>
  <si>
    <t>Falling from rest: m·g·h = ½·m·v² → v = √(2gh)</t>
  </si>
  <si>
    <t>note that mass cancels</t>
  </si>
  <si>
    <t>With friction: E_initial = E_final + E_lost</t>
  </si>
  <si>
    <t>E_lost = work done against friction (J)</t>
  </si>
  <si>
    <t>p_gauge = ρ·g·h</t>
  </si>
  <si>
    <t>h = height difference between the two arms (m)</t>
  </si>
  <si>
    <t>p_absolute = p_atmospheric + p_gauge</t>
  </si>
  <si>
    <t>pascals (Pa)</t>
  </si>
  <si>
    <t>I_total = I₁ = I₂ = I₃</t>
  </si>
  <si>
    <t>A</t>
  </si>
  <si>
    <t>V_total = V₁ + V₂ + V₃</t>
  </si>
  <si>
    <t>V</t>
  </si>
  <si>
    <t>R_total = R₁ + R₂ + R₃</t>
  </si>
  <si>
    <t>Ω</t>
  </si>
  <si>
    <t>V_total = V₁ = V₂ = V₃</t>
  </si>
  <si>
    <t>I_total = I₁ + I₂ + I₃</t>
  </si>
  <si>
    <t>1/R_total = 1/R₁ + 1/R₂ + 1/R₃</t>
  </si>
  <si>
    <t>P = V·I</t>
  </si>
  <si>
    <t>P = power (W); V (V); I (A)</t>
  </si>
  <si>
    <t>P = I²·R</t>
  </si>
  <si>
    <t>using V = IR</t>
  </si>
  <si>
    <t>P = V²/R</t>
  </si>
  <si>
    <t>E = P·t = V·I·t</t>
  </si>
  <si>
    <t>E = energy (J); t = time (s)</t>
  </si>
  <si>
    <t>E (kWh) = P (kW) × t (h)</t>
  </si>
  <si>
    <t>commercial energy unit</t>
  </si>
  <si>
    <t>Cost = E (kWh) × unit price</t>
  </si>
  <si>
    <t>in local currency per kWh</t>
  </si>
  <si>
    <t>1 kWh = 3.6 × 10⁶ J</t>
  </si>
  <si>
    <t>v = f·λ</t>
  </si>
  <si>
    <t>v = wave speed (m s⁻¹); f = frequency (Hz); λ = wavelength (m)</t>
  </si>
  <si>
    <t>f = 1 / T</t>
  </si>
  <si>
    <t>T = period (s)</t>
  </si>
  <si>
    <t>T = 1 / f</t>
  </si>
  <si>
    <t>λ = v / f · f = v / λ</t>
  </si>
  <si>
    <t>F_R = ΣF (with sign convention)</t>
  </si>
  <si>
    <t>Equilibrium: ΣF = 0</t>
  </si>
  <si>
    <t>F_x = F·cos θ</t>
  </si>
  <si>
    <t>F = force magnitude (N); θ = angle from the x-axis</t>
  </si>
  <si>
    <t>F_y = F·sin θ</t>
  </si>
  <si>
    <t>F = √(F_x² + F_y²)</t>
  </si>
  <si>
    <t>resultant magnitude</t>
  </si>
  <si>
    <t>θ = tan⁻¹(F_y / F_x)</t>
  </si>
  <si>
    <t>resultant direction</t>
  </si>
  <si>
    <t>On a slope of angle θ: component along slope = W·sin θ ; perpendicular = W·cos θ</t>
  </si>
  <si>
    <t>W = weight (N)</t>
  </si>
  <si>
    <t>M = F·d</t>
  </si>
  <si>
    <t>M = moment (N m); F = force (N); d = perpendicular distance from pivot to line of action (m)</t>
  </si>
  <si>
    <t>M = F·d·sin θ</t>
  </si>
  <si>
    <t>for a force applied at angle θ to the lever arm</t>
  </si>
  <si>
    <t>Σ M_clockwise = Σ M_anticlockwise</t>
  </si>
  <si>
    <t>N m</t>
  </si>
  <si>
    <t>ΣF_up = ΣF_down</t>
  </si>
  <si>
    <t>N (translational equilibrium)</t>
  </si>
  <si>
    <t>Resultant magnitude: R = F₁ + F₂ (same direction)</t>
  </si>
  <si>
    <t>N</t>
  </si>
  <si>
    <t>Position: F₁·d₁ = F₂·d₂ (moments about the line of action of R)</t>
  </si>
  <si>
    <t>m</t>
  </si>
  <si>
    <t>Two supports: R₁ + R₂ = W and moments about one support give the other</t>
  </si>
  <si>
    <t>MA = Load / Effort</t>
  </si>
  <si>
    <t>mechanical advantage (dimensionless)</t>
  </si>
  <si>
    <t>VR = distance moved by effort / distance moved by load</t>
  </si>
  <si>
    <t>velocity ratio (dimensionless)</t>
  </si>
  <si>
    <t>Efficiency = (MA / VR) × 100 %</t>
  </si>
  <si>
    <t>Efficiency = (useful work output / work input) × 100 %</t>
  </si>
  <si>
    <t>Work output = Load × load distance · Work input = Effort × effort distance</t>
  </si>
  <si>
    <t>Load × load arm = Effort × effort arm</t>
  </si>
  <si>
    <t>N and m</t>
  </si>
  <si>
    <t>MA = effort arm / load arm = Load / Effort</t>
  </si>
  <si>
    <t>dimensionless</t>
  </si>
  <si>
    <t>VR = effort arm / load arm</t>
  </si>
  <si>
    <t>for an ideal lever, VR = MA</t>
  </si>
  <si>
    <t>VR = length of incline / height of incline = L / h</t>
  </si>
  <si>
    <t>VR = 1 / sin θ</t>
  </si>
  <si>
    <t>θ = angle of the incline</t>
  </si>
  <si>
    <t>Ideal effort = W·sin θ</t>
  </si>
  <si>
    <t>W = load weight (N)</t>
  </si>
  <si>
    <t>Work output = W·h · Work input = Effort × L</t>
  </si>
  <si>
    <t>Gear ratio = N_driven / N_driver</t>
  </si>
  <si>
    <t>N = number of teeth</t>
  </si>
  <si>
    <t>ω_driver·N_driver = ω_driven·N_driven</t>
  </si>
  <si>
    <t>ω = angular speed (rev s⁻¹ or rad s⁻¹)</t>
  </si>
  <si>
    <t>n_driver / n_driven = N_driven / N_driver</t>
  </si>
  <si>
    <t>n = rotational speed (rpm)</t>
  </si>
  <si>
    <t>MA (torque gain) = N_driven / N_driver</t>
  </si>
  <si>
    <t>d₁·n₁ = d₂·n₂</t>
  </si>
  <si>
    <t>d = pulley diameter (m); n = rotational speed (rpm)</t>
  </si>
  <si>
    <t>Speed ratio = d_driver / d_driven</t>
  </si>
  <si>
    <t>VR = number of rope sections supporting the load = n</t>
  </si>
  <si>
    <t>Ideal: Effort = Load / n</t>
  </si>
  <si>
    <t>With movable block weight: Effort = (Load + W_block) / n</t>
  </si>
  <si>
    <t>MA = Load / Effort · Efficiency = (MA/VR) × 100 %</t>
  </si>
  <si>
    <t>VR = R / r</t>
  </si>
  <si>
    <t>R = wheel radius (m); r = axle radius (m)</t>
  </si>
  <si>
    <t>Ideal: Effort × R = Load × r</t>
  </si>
  <si>
    <t>MA = R / r (ideal) · Efficiency = (MA/VR) × 100 %</t>
  </si>
  <si>
    <t>E = V·I·t</t>
  </si>
  <si>
    <t>E (J); V (V); I (A); t (s)</t>
  </si>
  <si>
    <t>E = P·t · P = V·I</t>
  </si>
  <si>
    <t>P (W)</t>
  </si>
  <si>
    <t>E = I²·R·t · E = (V²/R)·t</t>
  </si>
  <si>
    <t>Units used = P(kW) × t(h)</t>
  </si>
  <si>
    <t>kWh</t>
  </si>
  <si>
    <t>Cost = units × tariff</t>
  </si>
  <si>
    <t>currency</t>
  </si>
  <si>
    <t>Consumption = final meter reading − initial reading</t>
  </si>
  <si>
    <t>V·I·t = m·c·Δθ</t>
  </si>
  <si>
    <t>electrical energy = heat energy (ideal)</t>
  </si>
  <si>
    <t>P·t = m·c·Δθ</t>
  </si>
  <si>
    <t>With efficiency η: η × P·t = m·c·Δθ</t>
  </si>
  <si>
    <t>η as a decimal fraction</t>
  </si>
  <si>
    <t>Q (J); m (kg); c (J kg⁻¹ K⁻¹); Δθ (K)</t>
  </si>
  <si>
    <t>P_loss = I²·R_line</t>
  </si>
  <si>
    <t>W</t>
  </si>
  <si>
    <t>P = V·I → I = P/V</t>
  </si>
  <si>
    <t>so raising V lowers I for the same P</t>
  </si>
  <si>
    <t>V_s / V_p = N_s / N_p</t>
  </si>
  <si>
    <t>V = voltage (V); N = number of turns</t>
  </si>
  <si>
    <t>For an ideal transformer: V_p·I_p = V_s·I_s</t>
  </si>
  <si>
    <t>power conservation</t>
  </si>
  <si>
    <t>I_s / I_p = N_p / N_s</t>
  </si>
  <si>
    <t>Shadow size / object size = distance to screen / distance to object</t>
  </si>
  <si>
    <t>similar triangles, consistent length units</t>
  </si>
  <si>
    <t>c = 3.0 × 10⁸ m s⁻¹</t>
  </si>
  <si>
    <t>speed of light in vacuum</t>
  </si>
  <si>
    <t>d = c·t</t>
  </si>
  <si>
    <t>d (m); t (s)</t>
  </si>
  <si>
    <t>Echo/radar: d = c·t / 2</t>
  </si>
  <si>
    <t>for a there-and-back path</t>
  </si>
  <si>
    <t>1 light-year = 9.46 × 10¹⁵ m</t>
  </si>
  <si>
    <t>i = r</t>
  </si>
  <si>
    <t>i = angle of incidence, r = angle of reflection, both measured from the normal (degrees)</t>
  </si>
  <si>
    <t>Total deviation on reflection: 180° − 2i</t>
  </si>
  <si>
    <t>degrees</t>
  </si>
  <si>
    <t>Two mirrors at angle θ: deviation = 360° − 2θ</t>
  </si>
  <si>
    <t>image distance = object distance</t>
  </si>
  <si>
    <t>metres (m), image behind the mirror</t>
  </si>
  <si>
    <t>Minimum mirror height to see a full body = half the person's height</t>
  </si>
  <si>
    <t>independent of distance</t>
  </si>
  <si>
    <t>Two mirrors at angle θ: number of images n = (360/θ) − 1</t>
  </si>
  <si>
    <t>for 360/θ an integer</t>
  </si>
  <si>
    <t>f = R / 2</t>
  </si>
  <si>
    <t>f = focal length (m or cm); R = radius of curvature</t>
  </si>
  <si>
    <t>1/f = 1/u + 1/v</t>
  </si>
  <si>
    <t>f = focal length; u = object distance; v = image distance (all cm or all m)</t>
  </si>
  <si>
    <t>m = h_i / h_o = −v / u</t>
  </si>
  <si>
    <t>m = magnification (dimensionless); h = heights</t>
  </si>
  <si>
    <t>n = real depth / apparent depth</t>
  </si>
  <si>
    <t>n = refractive index (dimensionless)</t>
  </si>
  <si>
    <t>apparent depth = real depth / n</t>
  </si>
  <si>
    <t>metres or centimetres</t>
  </si>
  <si>
    <t>Apparent shift = real depth − apparent depth = real depth (1 − 1/n)</t>
  </si>
  <si>
    <t>n = c / v</t>
  </si>
  <si>
    <t>n = refractive index; c = 3.0 × 10⁸ m s⁻¹; v = speed in the medium (m s⁻¹)</t>
  </si>
  <si>
    <t>n = sin i / sin r</t>
  </si>
  <si>
    <t>for light passing from air into the medium; angles from the normal</t>
  </si>
  <si>
    <t>n₁·sin θ₁ = n₂·sin θ₂</t>
  </si>
  <si>
    <t>general Snell's law</t>
  </si>
  <si>
    <t>sin C = 1 / n</t>
  </si>
  <si>
    <t>C = critical angle (degrees)</t>
  </si>
  <si>
    <t>n₁ sin C = n₂ (for a general pair of media)</t>
  </si>
  <si>
    <t>f = focal length; u = object distance; v = image distance (consistent units)</t>
  </si>
  <si>
    <t>m = h_i / h_o = v / u (magnitude)</t>
  </si>
  <si>
    <t>m = magnification (dimensionless)</t>
  </si>
  <si>
    <t>P = 1 / f</t>
  </si>
  <si>
    <t>P = power (dioptres, D); f in metres</t>
  </si>
  <si>
    <t>f positive for converging, negative for diverging</t>
  </si>
  <si>
    <t>sign convention</t>
  </si>
  <si>
    <t>v = Δs / Δt</t>
  </si>
  <si>
    <t>v = velocity (m s⁻¹); Δs = displacement (m); Δt = time interval (s)</t>
  </si>
  <si>
    <t>s = v·t</t>
  </si>
  <si>
    <t>for uniform motion</t>
  </si>
  <si>
    <t>v_avg = total displacement / total time</t>
  </si>
  <si>
    <t>speed_avg = total distance / total time</t>
  </si>
  <si>
    <t>note: not the same as average velocity</t>
  </si>
  <si>
    <t>a (m s⁻²); u, v (m s⁻¹); t (s)</t>
  </si>
  <si>
    <t>gradient of s–t graph = velocity</t>
  </si>
  <si>
    <t>gradient of v–t graph = acceleration</t>
  </si>
  <si>
    <t>area under v–t graph = displacement</t>
  </si>
  <si>
    <t>area under a–t graph = change in velocity</t>
  </si>
  <si>
    <t>u, v (m s⁻¹); a (m s⁻²); t (s)</t>
  </si>
  <si>
    <t>s = v·t − ½·a·t²</t>
  </si>
  <si>
    <t>u</t>
  </si>
  <si>
    <t>k = spring constant (N m⁻¹); x = extension (m)</t>
  </si>
  <si>
    <t>E_elastic = ½·k·x²</t>
  </si>
  <si>
    <t>p = m·v</t>
  </si>
  <si>
    <t>p = momentum (kg m s⁻¹)</t>
  </si>
  <si>
    <t>F = Δp / Δt</t>
  </si>
  <si>
    <t>ΣF = m·a</t>
  </si>
  <si>
    <t>ΣF = resultant force (N); m (kg); a (m s⁻²)</t>
  </si>
  <si>
    <t>ΣF = Δp / Δt = m(v − u)/t</t>
  </si>
  <si>
    <t>On a slope (frictionless): a = g·sin θ</t>
  </si>
  <si>
    <t>θ = slope angle</t>
  </si>
  <si>
    <t>On a slope with friction: a = g(sin θ − μ·cos θ)</t>
  </si>
  <si>
    <t>μ = coefficient of friction</t>
  </si>
  <si>
    <t>Lift: N = m(g + a) accelerating up; N = m(g − a) accelerating down</t>
  </si>
  <si>
    <t>N = normal (apparent weight) force (N)</t>
  </si>
  <si>
    <t>Connected bodies: a = ΣF_external / Σm ; then T from one body's equation</t>
  </si>
  <si>
    <t>T = tension (N)</t>
  </si>
  <si>
    <t>f_s ≤ μ_s·N</t>
  </si>
  <si>
    <t>f_s = static friction (N); μ_s = coefficient of static friction (dimensionless); N = normal force (N)</t>
  </si>
  <si>
    <t>f_k = μ_k·N</t>
  </si>
  <si>
    <t>f_k = kinetic friction (N); μ_k = coefficient of kinetic friction</t>
  </si>
  <si>
    <t>On a horizontal surface: N = m·g</t>
  </si>
  <si>
    <t>On a slope: N = m·g·cos θ</t>
  </si>
  <si>
    <t>Angle of friction/repose: tan θ = μ_s</t>
  </si>
  <si>
    <t>θ = angle at which sliding begins</t>
  </si>
  <si>
    <t>W = work (J); F = force (N); d = displacement (m); θ = angle between F and d</t>
  </si>
  <si>
    <t>when θ = 0</t>
  </si>
  <si>
    <t>W = 0</t>
  </si>
  <si>
    <t>when θ = 90°</t>
  </si>
  <si>
    <t>W against gravity = m·g·h</t>
  </si>
  <si>
    <t>h = vertical height (m)</t>
  </si>
  <si>
    <t>W against friction = f·d = μ·N·d</t>
  </si>
  <si>
    <t>W = area under the force–displacement graph</t>
  </si>
  <si>
    <t>J</t>
  </si>
  <si>
    <t>E_k (J); m (kg); v (m s⁻¹)</t>
  </si>
  <si>
    <t>W_net = ΔE_k = ½mv² − ½mu²</t>
  </si>
  <si>
    <t>E_p (J); m (kg); g = 9.8 m s⁻²; h (m)</t>
  </si>
  <si>
    <t>E_k + E_p = constant</t>
  </si>
  <si>
    <t>conservation of mechanical energy</t>
  </si>
  <si>
    <t>With friction: E_initial = E_final + W_friction</t>
  </si>
  <si>
    <t>P (W); W (J); t (s)</t>
  </si>
  <si>
    <t>for constant velocity; v (m s⁻¹)</t>
  </si>
  <si>
    <t>P_average = F·v_average</t>
  </si>
  <si>
    <t>Efficiency η = (useful output / total input) × 100 %</t>
  </si>
  <si>
    <t>energies or powers, consistently</t>
  </si>
  <si>
    <t>1 hp ≈ 746 W</t>
  </si>
  <si>
    <t>where used</t>
  </si>
  <si>
    <t>ρ = density (kg m⁻³); m (kg); V (m³)</t>
  </si>
  <si>
    <t>gauge pressure (Pa)</t>
  </si>
  <si>
    <t>p_absolute = p_atm + ρ·g·h</t>
  </si>
  <si>
    <t>Pa</t>
  </si>
  <si>
    <t>F_upthrust = ρ_fluid·g·V_displaced</t>
  </si>
  <si>
    <t>F_upthrust = weight of displaced fluid</t>
  </si>
  <si>
    <t>Apparent weight = W_actual − F_upthrust</t>
  </si>
  <si>
    <t>Floating: W_object = F_upthrust → ρ_obj·V_obj = ρ_fluid·V_submerged</t>
  </si>
  <si>
    <t>Fraction submerged = ρ_object / ρ_fluid</t>
  </si>
  <si>
    <t>Pascal: F₁/A₁ = F₂/A₂</t>
  </si>
  <si>
    <t>N and m²</t>
  </si>
  <si>
    <t>T(K) = θ(°C) + 273.15</t>
  </si>
  <si>
    <t>θ(°F) = (9/5)θ(°C) + 32</t>
  </si>
  <si>
    <t>θ(°C) = (5/9)[θ(°F) − 32]</t>
  </si>
  <si>
    <t>C = m·c ; Q = C·Δθ</t>
  </si>
  <si>
    <t>C = heat capacity (J K⁻¹)</t>
  </si>
  <si>
    <t>Method of mixtures: m₁c₁(θ₁ − θ_f) = m₂c₂(θ_f − θ₂)</t>
  </si>
  <si>
    <t>θ_f = final common temperature</t>
  </si>
  <si>
    <t>With calorimeter: m₁c₁(θ₁ − θ_f) = (m₂c₂ + C_cal)(θ_f − θ₂)</t>
  </si>
  <si>
    <t>C_cal = calorimeter heat capacity (J K⁻¹)</t>
  </si>
  <si>
    <t>Electrical heating: V·I·t = m·c·Δθ (ideal)</t>
  </si>
  <si>
    <t>Q = m·L</t>
  </si>
  <si>
    <t>Q (J); m (kg); L = specific latent heat (J kg⁻¹)</t>
  </si>
  <si>
    <t>Q = m·L_f</t>
  </si>
  <si>
    <t>fusion (melting/freezing)</t>
  </si>
  <si>
    <t>Q = m·L_v</t>
  </si>
  <si>
    <t>vaporisation (boiling/condensing)</t>
  </si>
  <si>
    <t>Multi-stage: Q_total = m·c₁·Δθ₁ + m·L_f + m·c₂·Δθ₂ + m·L_v + ...</t>
  </si>
  <si>
    <t>Q (C); n = integer; e = 1.6 × 10⁻¹⁹ C</t>
  </si>
  <si>
    <t>Σ Q_before = Σ Q_after</t>
  </si>
  <si>
    <t>conservation of charge</t>
  </si>
  <si>
    <t>I (A); Q (C); t (s)</t>
  </si>
  <si>
    <t>1 A = 1 C s⁻¹</t>
  </si>
  <si>
    <t>n = Q / e = (I·t) / e</t>
  </si>
  <si>
    <t>n = number of electrons; e = 1.6 × 10⁻¹⁹ C</t>
  </si>
  <si>
    <t>I = n·e / t</t>
  </si>
  <si>
    <t>I = n·A·v·e</t>
  </si>
  <si>
    <t>n = number density of carriers (m⁻³); A = cross-sectional area (m²); v = drift velocity (m s⁻¹); e = 1.6 × 10⁻¹⁹ C</t>
  </si>
  <si>
    <t>ε = I(R + r)</t>
  </si>
  <si>
    <t>ε = e.m.f. (V); R = external resistance (Ω); r = internal resistance (Ω)</t>
  </si>
  <si>
    <t>V_terminal = ε − I·r</t>
  </si>
  <si>
    <t>Ohm's law</t>
  </si>
  <si>
    <t>Series: R_s = R₁ + R₂ + ... + Rₙ</t>
  </si>
  <si>
    <t>Parallel: 1/R_p = 1/R₁ + 1/R₂ + ... + 1/Rₙ</t>
  </si>
  <si>
    <t>Two in parallel: R_p = R₁R₂/(R₁ + R₂)</t>
  </si>
  <si>
    <t>n equal resistors in parallel: R_p = R/n</t>
  </si>
  <si>
    <t>Potential divider: V_out = V_in × R₂/(R₁ + R₂)</t>
  </si>
  <si>
    <t>Current divider (two branches): I₁ = I_total × R₂/(R₁ + R₂)</t>
  </si>
  <si>
    <t>P = V·I = I²R = V²/R</t>
  </si>
  <si>
    <t>B = μ₀·I / (2π·r)</t>
  </si>
  <si>
    <t>B = magnetic flux density (T); μ₀ = 4π × 10⁻⁷ T m A⁻¹; I = current (A); r = perpendicular distance (m)</t>
  </si>
  <si>
    <t>B = μ₀·I / (2·R)</t>
  </si>
  <si>
    <t>at the centre of a single loop; R = loop radius (m)</t>
  </si>
  <si>
    <t>B = μ₀·N·I / (2·R)</t>
  </si>
  <si>
    <t>for a coil of N turns</t>
  </si>
  <si>
    <t>B = μ₀·n·I</t>
  </si>
  <si>
    <t>n = turns per unit length (m⁻¹)</t>
  </si>
  <si>
    <t>n = N / L</t>
  </si>
  <si>
    <t>N = total turns; L = solenoid length (m)</t>
  </si>
  <si>
    <t>B = μ₀·N·I / L</t>
  </si>
  <si>
    <t>V_rms = V_peak / √2 ≈ 0.707·V_peak</t>
  </si>
  <si>
    <t>I_rms = I_peak / √2</t>
  </si>
  <si>
    <t>amperes (A)</t>
  </si>
  <si>
    <t>V_peak = √2 · V_rms</t>
  </si>
  <si>
    <t>V_peak-to-peak = 2·V_peak</t>
  </si>
  <si>
    <t>P_average = V_rms · I_rms</t>
  </si>
  <si>
    <t>f (Hz); T (s)</t>
  </si>
  <si>
    <t>ω = 2π·f</t>
  </si>
  <si>
    <t>angular frequency (rad s⁻¹)</t>
  </si>
  <si>
    <t>On an oscilloscope: T = (divisions per cycle) × (time-base setting)</t>
  </si>
  <si>
    <t>volts and turns</t>
  </si>
  <si>
    <t>Ideal: V_p·I_p = V_s·I_s</t>
  </si>
  <si>
    <t>Efficiency = (P_out / P_in) × 100 %</t>
  </si>
  <si>
    <t>Transmission loss: P_loss = I²·R</t>
  </si>
  <si>
    <t>n = refractive index; c = 3.0 × 10⁸ m s⁻¹; v = speed in medium (m s⁻¹)</t>
  </si>
  <si>
    <t>λ_medium = λ_vacuum / n</t>
  </si>
  <si>
    <t>wavelength in the medium (m)</t>
  </si>
  <si>
    <t>f is constant across the boundary</t>
  </si>
  <si>
    <t>Hz</t>
  </si>
  <si>
    <t>angles from the normal (degrees)</t>
  </si>
  <si>
    <t>air to medium</t>
  </si>
  <si>
    <t>n₁/n₂ = v₂/v₁ = λ₂/λ₁</t>
  </si>
  <si>
    <t>sin C = n₂ / n₁ (n₁ &gt; n₂)</t>
  </si>
  <si>
    <t>C = critical angle</t>
  </si>
  <si>
    <t>medium to air</t>
  </si>
  <si>
    <t>consistent units throughout (all m or all cm)</t>
  </si>
  <si>
    <t>m = magnification; negative m means inverted</t>
  </si>
  <si>
    <t>P = power (D); f in metres</t>
  </si>
  <si>
    <t>f &gt; 0 for converging, f &lt; 0 for diverging</t>
  </si>
  <si>
    <t>Two lenses in contact: 1/f_total = 1/f₁ + 1/f₂ ; P_total = P₁ + P₂</t>
  </si>
  <si>
    <t>Q (C); e = 1.6 × 10⁻¹⁹ C</t>
  </si>
  <si>
    <t>Charge sharing between identical spheres: Q_each = (Q₁ + Q₂)/2</t>
  </si>
  <si>
    <t>C</t>
  </si>
  <si>
    <t>F = k·</t>
  </si>
  <si>
    <t>q₁·q₂</t>
  </si>
  <si>
    <t>/ r²</t>
  </si>
  <si>
    <t>k = 1 / (4π·ε₀)</t>
  </si>
  <si>
    <t>ε₀ = 8.85 × 10⁻¹² C² N⁻¹ m⁻² (permittivity of free space)</t>
  </si>
  <si>
    <t>F = q₁q₂ / (4π·ε₀·r²)</t>
  </si>
  <si>
    <t>In a medium: F = q₁q₂ / (4π·ε₀·ε_r·r²)</t>
  </si>
  <si>
    <t>ε_r = relative permittivity (dimensionless)</t>
  </si>
  <si>
    <t>Resultant of two forces at angle θ: F_R = √(F₁² + F₂² + 2F₁F₂cos θ)</t>
  </si>
  <si>
    <t>Perpendicular: F_R = √(F₁² + F₂²)</t>
  </si>
  <si>
    <t>E = F / q</t>
  </si>
  <si>
    <t>E = electric field strength (N C⁻¹ or V m⁻¹); F (N); q = test charge (C)</t>
  </si>
  <si>
    <t>F = q·E</t>
  </si>
  <si>
    <t>E = k·</t>
  </si>
  <si>
    <t>Q</t>
  </si>
  <si>
    <t>E = Q / (4π·ε₀·r²)</t>
  </si>
  <si>
    <t>Resultant of two fields: E_R = √(E₁² + E₂² + 2E₁E₂cos θ)</t>
  </si>
  <si>
    <t>N C⁻¹</t>
  </si>
  <si>
    <t>Collinear: E_R = E₁ ± E₂ (signs by direction)</t>
  </si>
  <si>
    <t>E = V / d</t>
  </si>
  <si>
    <t>uniform field between plates; V (V); d = plate separation (m)</t>
  </si>
  <si>
    <t>F = q·E = q·V/d</t>
  </si>
  <si>
    <t>a = q·E / m</t>
  </si>
  <si>
    <t>acceleration of a charged particle (m s⁻²)</t>
  </si>
  <si>
    <t>Deflection: y = ½·a·t² with t = L/v_x</t>
  </si>
  <si>
    <t>projectile-like motion in the field</t>
  </si>
  <si>
    <t>Millikan: q·E = m·g → q = m·g·d / V</t>
  </si>
  <si>
    <t>balanced oil drop</t>
  </si>
  <si>
    <t>V = W / q</t>
  </si>
  <si>
    <t>V = potential (V); W = work (J); q = charge (C)</t>
  </si>
  <si>
    <t>W = q·V</t>
  </si>
  <si>
    <t>V = k·Q / r</t>
  </si>
  <si>
    <t>potential due to a point charge (V) — a scalar, sum algebraically</t>
  </si>
  <si>
    <t>E_p = k·q₁q₂ / r</t>
  </si>
  <si>
    <t>electric potential energy of a pair (J)</t>
  </si>
  <si>
    <t>½·m·v² = q·V</t>
  </si>
  <si>
    <t>kinetic energy gained by an accelerated charge</t>
  </si>
  <si>
    <t>v = √(2·q·V / m)</t>
  </si>
  <si>
    <t>1 eV = 1.6 × 10⁻¹⁹ J</t>
  </si>
  <si>
    <t>electronvolt</t>
  </si>
  <si>
    <t>E = V / d = −ΔV/Δx</t>
  </si>
  <si>
    <t>N C⁻¹ = V m⁻¹</t>
  </si>
  <si>
    <t>W = q·E·d</t>
  </si>
  <si>
    <t>J, moving parallel to the field</t>
  </si>
  <si>
    <t>moving perpendicular to the field (along an equipotential)</t>
  </si>
  <si>
    <t>C = Q / V</t>
  </si>
  <si>
    <t>C = capacitance (F); Q = charge (C); V = potential difference (V)</t>
  </si>
  <si>
    <t>Q = C·V</t>
  </si>
  <si>
    <t>Parallel-plate: C = ε₀·ε_r·A / d</t>
  </si>
  <si>
    <t>A = plate area (m²); d = separation (m)</t>
  </si>
  <si>
    <t>Energy: E = ½·C·V² = ½·Q·V = Q²/(2C)</t>
  </si>
  <si>
    <t>Capacitors in parallel: C_p = C₁ + C₂ + ...</t>
  </si>
  <si>
    <t>F</t>
  </si>
  <si>
    <t>Capacitors in series: 1/C_s = 1/C₁ + 1/C₂ + ...</t>
  </si>
  <si>
    <t>Charge sharing (identical spheres): Q_each = (Q₁ + Q₂)/2</t>
  </si>
  <si>
    <t>θ = s / r</t>
  </si>
  <si>
    <t>θ = angular displacement (rad); s = arc length (m); r = radius (m)</t>
  </si>
  <si>
    <t>1 revolution = 2π rad = 360°</t>
  </si>
  <si>
    <t>θ(rad) = θ(°) × π/180</t>
  </si>
  <si>
    <t>ω = Δθ / Δt</t>
  </si>
  <si>
    <t>ω = angular velocity (rad s⁻¹)</t>
  </si>
  <si>
    <t>v = ω·r</t>
  </si>
  <si>
    <t>v = tangential velocity (m s⁻¹)</t>
  </si>
  <si>
    <t>ω = 2π / T = 2π·f</t>
  </si>
  <si>
    <t>T = period (s); f = frequency (Hz)</t>
  </si>
  <si>
    <t>n rpm = (2π·n / 60) rad s⁻¹</t>
  </si>
  <si>
    <t>conversion from revolutions per minute</t>
  </si>
  <si>
    <t>α = Δω / Δt</t>
  </si>
  <si>
    <t>α = angular acceleration (rad s⁻²)</t>
  </si>
  <si>
    <t>a = Δv/Δt</t>
  </si>
  <si>
    <t>ω = ω₀ + α·t</t>
  </si>
  <si>
    <t>v = u + at</t>
  </si>
  <si>
    <t>θ = ω₀·t + ½·α·t²</t>
  </si>
  <si>
    <t>s = ut + ½at²</t>
  </si>
  <si>
    <t>ω² = ω₀² + 2·α·θ</t>
  </si>
  <si>
    <t>v² = u² + 2as</t>
  </si>
  <si>
    <t>θ = ½(ω₀ + ω)·t</t>
  </si>
  <si>
    <t>s = ½(u+v)t</t>
  </si>
  <si>
    <t>a_t = α·r</t>
  </si>
  <si>
    <t>tangential acceleration (m s⁻²)</t>
  </si>
  <si>
    <t>a_c = ω²·r = v²/r</t>
  </si>
  <si>
    <t>centripetal acceleration (m s⁻²)</t>
  </si>
  <si>
    <t>τ = r·F·sin θ</t>
  </si>
  <si>
    <t>τ = torque (N m); r = distance from axis (m); F (N); θ = angle between r and F</t>
  </si>
  <si>
    <t>τ = F·d_perpendicular</t>
  </si>
  <si>
    <t>d = perpendicular distance from the axis to the line of action (m)</t>
  </si>
  <si>
    <t>τ_net = Στ (clockwise negative, anticlockwise positive)</t>
  </si>
  <si>
    <t>Point mass</t>
  </si>
  <si>
    <t>I = m·r²</t>
  </si>
  <si>
    <t>I (kg m²); m (kg); r (m)</t>
  </si>
  <si>
    <t>System of point masses</t>
  </si>
  <si>
    <t>I = Σ m_i·r_i²</t>
  </si>
  <si>
    <t>Solid cylinder / disc (about its axis)</t>
  </si>
  <si>
    <t>I = ½·M·R²</t>
  </si>
  <si>
    <t>Hollow cylinder / hoop (about its axis)</t>
  </si>
  <si>
    <t>I = M·R²</t>
  </si>
  <si>
    <t>Solid sphere (about a diameter)</t>
  </si>
  <si>
    <t>I = (2/5)·M·R²</t>
  </si>
  <si>
    <t>Hollow sphere (about a diameter)</t>
  </si>
  <si>
    <t>I = (2/3)·M·R²</t>
  </si>
  <si>
    <t>Thin rod (about its centre)</t>
  </si>
  <si>
    <t>I = (1/12)·M·L²</t>
  </si>
  <si>
    <t>L = length (m)</t>
  </si>
  <si>
    <t>Thin rod (about one end)</t>
  </si>
  <si>
    <t>I = (1/3)·M·L²</t>
  </si>
  <si>
    <t>τ = I·α</t>
  </si>
  <si>
    <t>τ (N m); I (kg m²); α (rad s⁻²)</t>
  </si>
  <si>
    <t>E_k(rotational) = ½·I·ω²</t>
  </si>
  <si>
    <t>E_k(total, rolling) = ½·m·v² + ½·I·ω²</t>
  </si>
  <si>
    <t>Rolling without slipping: v = ω·R</t>
  </si>
  <si>
    <t>Work done by a torque: W = τ·θ</t>
  </si>
  <si>
    <t>Rotational power: P = τ·ω</t>
  </si>
  <si>
    <t>ΣF_x = 0 and ΣF_y = 0</t>
  </si>
  <si>
    <t>translational equilibrium (N)</t>
  </si>
  <si>
    <t>Στ = 0 about any point</t>
  </si>
  <si>
    <t>rotational equilibrium (N m)</t>
  </si>
  <si>
    <t>p = momentum (kg m s⁻¹ or N s); m (kg); v (m s⁻¹)</t>
  </si>
  <si>
    <t>J = F·Δt</t>
  </si>
  <si>
    <t>J = impulse (N s)</t>
  </si>
  <si>
    <t>J = Δp = m·v − m·u</t>
  </si>
  <si>
    <t>impulse–momentum theorem</t>
  </si>
  <si>
    <t>F = Δp / Δt = m(v − u)/t</t>
  </si>
  <si>
    <t>J = area under the force–time graph</t>
  </si>
  <si>
    <t>N s</t>
  </si>
  <si>
    <t>F_average = Δp / Δt</t>
  </si>
  <si>
    <t>L = I·ω</t>
  </si>
  <si>
    <t>L = angular momentum (kg m² s⁻¹); I (kg m²); ω (rad s⁻¹)</t>
  </si>
  <si>
    <t>L = m·v·r</t>
  </si>
  <si>
    <t>for a point mass in a circular path</t>
  </si>
  <si>
    <t>τ = ΔL / Δt</t>
  </si>
  <si>
    <t>Conservation: I₁·ω₁ = I₂·ω₂</t>
  </si>
  <si>
    <t>when net external torque is zero</t>
  </si>
  <si>
    <t>Angular impulse: τ·Δt = ΔL</t>
  </si>
  <si>
    <t>N m s</t>
  </si>
  <si>
    <t>m₁u₁ + m₂u₂ = m₁v₁ + m₂v₂</t>
  </si>
  <si>
    <t>momentum conservation, 1-D, with signs for direction</t>
  </si>
  <si>
    <t>Perfectly inelastic: m₁u₁ + m₂u₂ = (m₁ + m₂)·v</t>
  </si>
  <si>
    <t>common final velocity v</t>
  </si>
  <si>
    <t>Elastic (also): ½m₁u₁² + ½m₂u₂² = ½m₁v₁² + ½m₂v₂²</t>
  </si>
  <si>
    <t>Elastic 1-D result: v₁ − v₂ = −(u₁ − u₂)</t>
  </si>
  <si>
    <t>relative velocity reverses</t>
  </si>
  <si>
    <t>Explosion from rest: m₁v₁ = −m₂v₂</t>
  </si>
  <si>
    <t>recoil</t>
  </si>
  <si>
    <t>Energy lost = KE_before − KE_after</t>
  </si>
  <si>
    <t>x-direction: Σm·u_x = Σm·v_x</t>
  </si>
  <si>
    <t>kg m s⁻¹</t>
  </si>
  <si>
    <t>y-direction: Σm·u_y = Σm·v_y</t>
  </si>
  <si>
    <t>Component form: v_x = v·cos θ, v_y = v·sin θ</t>
  </si>
  <si>
    <t>Resultant: v = √(v_x² + v_y²), θ = tan⁻¹(v_y/v_x)</t>
  </si>
  <si>
    <t>F = k·x (applied force)</t>
  </si>
  <si>
    <t>F_restoring = −k·x</t>
  </si>
  <si>
    <t>the negative sign indicates opposition to displacement</t>
  </si>
  <si>
    <t>k = gradient of the force–extension graph</t>
  </si>
  <si>
    <t>N m⁻¹</t>
  </si>
  <si>
    <t>Springs in series: 1/k_s = 1/k₁ + 1/k₂</t>
  </si>
  <si>
    <t>Springs in parallel: k_p = k₁ + k₂</t>
  </si>
  <si>
    <t>E_elastic = ½·F·x</t>
  </si>
  <si>
    <t>J (equivalent form)</t>
  </si>
  <si>
    <t>E = area under the force–extension graph</t>
  </si>
  <si>
    <t>Energy conservation: ½kx² = ½mv² (spring launching a mass)</t>
  </si>
  <si>
    <t>½kx² = mgh (spring launching a mass vertically)</t>
  </si>
  <si>
    <t>½·k·A² = ½·k·x² + ½·m·v²</t>
  </si>
  <si>
    <t>energy conservation; A = amplitude (m)</t>
  </si>
  <si>
    <t>v = ±√(k/m)·√(A² − x²)</t>
  </si>
  <si>
    <t>v = ±ω·√(A² − x²)</t>
  </si>
  <si>
    <t>with ω = √(k/m)</t>
  </si>
  <si>
    <t>v_max = ω·A (at x = 0)</t>
  </si>
  <si>
    <t>v = 0 at x = ±A</t>
  </si>
  <si>
    <t>a = −ω²·x</t>
  </si>
  <si>
    <t>defining condition of SHM; a (m s⁻²)</t>
  </si>
  <si>
    <t>ω = 2π·f = 2π/T</t>
  </si>
  <si>
    <t>rad s⁻¹</t>
  </si>
  <si>
    <t>Spring–mass: ω = √(k/m)</t>
  </si>
  <si>
    <t>T = 2π·√(m/k)</t>
  </si>
  <si>
    <t>period of a spring–mass oscillator (s)</t>
  </si>
  <si>
    <t>f = (1/2π)·√(k/m)</t>
  </si>
  <si>
    <t>x = A·cos(ω·t) or x = A·sin(ω·t)</t>
  </si>
  <si>
    <t>depending on the starting condition; x (m)</t>
  </si>
  <si>
    <t>v = −A·ω·sin(ω·t)</t>
  </si>
  <si>
    <t>m s⁻¹ (for x = A cos ωt)</t>
  </si>
  <si>
    <t>a = −A·ω²·cos(ω·t) = −ω²·x</t>
  </si>
  <si>
    <t>x_max = A · v_max = ω·A · a_max = ω²·A</t>
  </si>
  <si>
    <t>E_total = ½·k·A² = ½·m·ω²·A²</t>
  </si>
  <si>
    <t>T = 2π·√(L / g)</t>
  </si>
  <si>
    <t>T = period (s); L = pendulum length (m); g = 9.8 m s⁻²</t>
  </si>
  <si>
    <t>T² = (4π²/g)·L</t>
  </si>
  <si>
    <t>linear form; gradient = 4π²/g</t>
  </si>
  <si>
    <t>g = 4π²·L / T²</t>
  </si>
  <si>
    <t>f = (1/2π)·√(g/L)</t>
  </si>
  <si>
    <t>v (m s⁻¹); f (Hz); λ (m)</t>
  </si>
  <si>
    <t>f = 1/T</t>
  </si>
  <si>
    <t>k = 2π/λ</t>
  </si>
  <si>
    <t>wave number (rad m⁻¹)</t>
  </si>
  <si>
    <t>y = A·sin(k·x − ω·t)</t>
  </si>
  <si>
    <t>travelling wave equation; y = displacement (m)</t>
  </si>
  <si>
    <t>v = √(T / μ)</t>
  </si>
  <si>
    <t>v (m s⁻¹); T = tension (N); μ = linear mass density (kg m⁻¹)</t>
  </si>
  <si>
    <t>μ = m / L</t>
  </si>
  <si>
    <t>m = string mass (kg); L = string length (m)</t>
  </si>
  <si>
    <t>to link with frequency</t>
  </si>
  <si>
    <t>Fundamental on a fixed string: f₁ = v/(2L) = (1/2L)·√(T/μ)</t>
  </si>
  <si>
    <t>1st law: planets move in ellipses with the Sun at one focus</t>
  </si>
  <si>
    <t>2nd law: the line from Sun to planet sweeps equal areas in equal times</t>
  </si>
  <si>
    <t>implies faster motion at perihelion</t>
  </si>
  <si>
    <t>3rd law: T² ∝ r³</t>
  </si>
  <si>
    <t>T = orbital period (s); r = semi-major axis / mean orbital radius (m)</t>
  </si>
  <si>
    <t>T₁²/T₂² = r₁³/r₂³</t>
  </si>
  <si>
    <t>comparison form</t>
  </si>
  <si>
    <t>T² = (4π²/G·M)·r³</t>
  </si>
  <si>
    <t>full form; M = central mass (kg)</t>
  </si>
  <si>
    <t>F = G·m₁·m₂ / r²</t>
  </si>
  <si>
    <t>F (N); G = 6.67 × 10⁻¹¹ N m² kg⁻²; m (kg); r = centre-to-centre separation (m)</t>
  </si>
  <si>
    <t>G·M·m/r² = m·v²/r → v = √(G·M / r)</t>
  </si>
  <si>
    <t>orbital speed (m s⁻¹)</t>
  </si>
  <si>
    <t>T = 2π·√(r³ / (G·M))</t>
  </si>
  <si>
    <t>orbital period (s)</t>
  </si>
  <si>
    <t>T² = 4π²·r³ / (G·M)</t>
  </si>
  <si>
    <t>Kepler's third law derived</t>
  </si>
  <si>
    <t>M = 4π²·r³ / (G·T²)</t>
  </si>
  <si>
    <t>central mass from orbital data (kg)</t>
  </si>
  <si>
    <t>Geostationary: T = 24 h = 86 400 s → r ≈ 4.2 × 10⁷ m</t>
  </si>
  <si>
    <t>above the equator, ~3.6 × 10⁷ m altitude</t>
  </si>
  <si>
    <t>Escape velocity: v_esc = √(2·G·M / R)</t>
  </si>
  <si>
    <t>g = F / m</t>
  </si>
  <si>
    <t>g = gravitational field strength (N kg⁻¹ = m s⁻²)</t>
  </si>
  <si>
    <t>g = G·M / r²</t>
  </si>
  <si>
    <t>at distance r from a mass M's centre</t>
  </si>
  <si>
    <t>g_surface = G·M / R²</t>
  </si>
  <si>
    <t>R = planet radius (m)</t>
  </si>
  <si>
    <t>At altitude h: g = G·M/(R + h)²</t>
  </si>
  <si>
    <t>g_h / g_surface = R² / (R + h)²</t>
  </si>
  <si>
    <t>ratio form</t>
  </si>
  <si>
    <t>M = g·R² / G</t>
  </si>
  <si>
    <t>planet mass from surface g</t>
  </si>
  <si>
    <t>Boyle's law: p·V = constant (T fixed) → p₁V₁ = p₂V₂</t>
  </si>
  <si>
    <t>p (Pa); V (m³)</t>
  </si>
  <si>
    <t>Charles's law: V/T = constant (p fixed) → V₁/T₁ = V₂/T₂</t>
  </si>
  <si>
    <t>T in kelvin</t>
  </si>
  <si>
    <t>Gay-Lussac: p/T = constant (V fixed) → p₁/T₁ = p₂/T₂</t>
  </si>
  <si>
    <t>Combined: p₁V₁/T₁ = p₂V₂/T₂</t>
  </si>
  <si>
    <t>Ideal gas equation: p·V = n·R·T</t>
  </si>
  <si>
    <t>n = number of moles; R = 8.31 J mol⁻¹ K⁻¹</t>
  </si>
  <si>
    <t>p·V = N·k_B·T</t>
  </si>
  <si>
    <t>N = number of molecules; k_B = 1.38 × 10⁻²³ J K⁻¹</t>
  </si>
  <si>
    <t>n = m / M</t>
  </si>
  <si>
    <t>m = mass (g); M = molar mass (g mol⁻¹)</t>
  </si>
  <si>
    <t>N = n·N_A</t>
  </si>
  <si>
    <t>N_A = 6.02 × 10²³ mol⁻¹</t>
  </si>
  <si>
    <t>R = N_A · k_B</t>
  </si>
  <si>
    <t>ρ = p·M / (R·T)</t>
  </si>
  <si>
    <t>gas density (kg m⁻³)</t>
  </si>
  <si>
    <t>p = (1/3)·ρ·⟨c²⟩</t>
  </si>
  <si>
    <t>p (Pa); ρ = gas density (kg m⁻³); ⟨c²⟩ = mean square speed (m² s⁻²)</t>
  </si>
  <si>
    <t>p·V = (1/3)·N·m·⟨c²⟩</t>
  </si>
  <si>
    <t>N = number of molecules; m = molecular mass (kg)</t>
  </si>
  <si>
    <t>⟨E_k⟩ = (3/2)·k_B·T</t>
  </si>
  <si>
    <t>average translational KE per molecule (J)</t>
  </si>
  <si>
    <t>Total translational KE = (3/2)·n·R·T</t>
  </si>
  <si>
    <t>J for n moles</t>
  </si>
  <si>
    <t>c_rms = √⟨c²⟩ = √(3·k_B·T / m)</t>
  </si>
  <si>
    <t>c_rms = √(3·R·T / M)</t>
  </si>
  <si>
    <t>M = molar mass (kg mol⁻¹)</t>
  </si>
  <si>
    <t>c_rms ∝ √T and c_rms ∝ 1/√M</t>
  </si>
  <si>
    <t>proportionalities</t>
  </si>
  <si>
    <t>Internal energy of a monatomic ideal gas: U = (3/2)·n·R·T</t>
  </si>
  <si>
    <t>W = p·ΔV</t>
  </si>
  <si>
    <t>work done *by* the gas at constant pressure (J); p (Pa); ΔV (m³)</t>
  </si>
  <si>
    <t>W = area under the p–V curve</t>
  </si>
  <si>
    <t>Isobaric: W = p(V₂ − V₁)</t>
  </si>
  <si>
    <t>Isochoric: W = 0</t>
  </si>
  <si>
    <t>no volume change</t>
  </si>
  <si>
    <t>Isothermal (ideal gas): W = n·R·T·ln(V₂/V₁)</t>
  </si>
  <si>
    <t>Cyclic process: W_net = area enclosed by the loop</t>
  </si>
  <si>
    <t>J; clockwise = net work done by the gas</t>
  </si>
  <si>
    <t>Sign: W &gt; 0 when the gas expands (does work on the surroundings)</t>
  </si>
  <si>
    <t>ΔU = Q − W</t>
  </si>
  <si>
    <t>ΔU = change in internal energy (J); Q = heat added *to* the system (J); W = work done *by* the system (J)</t>
  </si>
  <si>
    <t>Q &gt; 0: heat added · Q &lt; 0: heat removed</t>
  </si>
  <si>
    <t>W &gt; 0: gas expands · W &lt; 0: gas compressed</t>
  </si>
  <si>
    <t>Monatomic ideal gas: ΔU = (3/2)·n·R·ΔT</t>
  </si>
  <si>
    <t>Diatomic ideal gas: ΔU = (5/2)·n·R·ΔT</t>
  </si>
  <si>
    <t>Q = n·C_v·ΔT (constant volume) · Q = n·C_p·ΔT (constant pressure)</t>
  </si>
  <si>
    <t>C in J mol⁻¹ K⁻¹</t>
  </si>
  <si>
    <t>C_p − C_v = R · γ = C_p / C_v</t>
  </si>
  <si>
    <t>Adiabatic: p·V^γ = constant → p₁V₁^γ = p₂V₂^γ</t>
  </si>
  <si>
    <t>γ = C_p/C_v (≈1.67 monatomic, ≈1.4 diatomic)</t>
  </si>
  <si>
    <t>Adiabatic: T·V^(γ−1) = constant</t>
  </si>
  <si>
    <t>Adiabatic work: W = (p₁V₁ − p₂V₂)/(γ − 1)</t>
  </si>
  <si>
    <t>W = Q_H − Q_C</t>
  </si>
  <si>
    <t>W = net work per cycle (J); Q_H = heat absorbed from the hot reservoir; Q_C = heat rejected to the cold reservoir</t>
  </si>
  <si>
    <t>η = W / Q_H</t>
  </si>
  <si>
    <t>thermal efficiency (dimensionless or %)</t>
  </si>
  <si>
    <t>η = 1 − Q_C / Q_H</t>
  </si>
  <si>
    <t>η % = η × 100</t>
  </si>
  <si>
    <t>Power output: P = W / t = W × (cycles per second)</t>
  </si>
  <si>
    <t>ΔS = Q / T</t>
  </si>
  <si>
    <t>ΔS = entropy change (J K⁻¹) for a reversible isothermal transfer at temperature T (K)</t>
  </si>
  <si>
    <t>ΔS_universe ≥ 0</t>
  </si>
  <si>
    <t>equality only for a reversible process</t>
  </si>
  <si>
    <t>η_Carnot = 1 − T_C / T_H</t>
  </si>
  <si>
    <t>temperatures in kelvin</t>
  </si>
  <si>
    <t>η_Carnot = (T_H − T_C) / T_H</t>
  </si>
  <si>
    <t>Q_C / Q_H = T_C / T_H</t>
  </si>
  <si>
    <t>for a Carnot cycle</t>
  </si>
  <si>
    <t>Refrigerator COP = Q_C / W = T_C / (T_H − T_C)</t>
  </si>
  <si>
    <t>Heat pump COP = Q_H / W = T_H / (T_H − T_C)</t>
  </si>
  <si>
    <t>Otto cycle efficiency: η = 1 − 1/r^(γ−1)</t>
  </si>
  <si>
    <t>r = compression ratio (dimensionless); γ = C_p/C_v</t>
  </si>
  <si>
    <t>Compression ratio r = V_max / V_min</t>
  </si>
  <si>
    <t>y_resultant = y₁ + y₂</t>
  </si>
  <si>
    <t>displacements (m)</t>
  </si>
  <si>
    <t>Constructive: path difference = n·λ (n = 0, 1, 2, ...)</t>
  </si>
  <si>
    <t>Destructive: path difference = (n + ½)·λ</t>
  </si>
  <si>
    <t>Phase difference: Δφ = (2π/λ)·Δx</t>
  </si>
  <si>
    <t>rad</t>
  </si>
  <si>
    <t>Constructive: Δφ = 2nπ · Destructive: Δφ = (2n+1)π</t>
  </si>
  <si>
    <t>y = 2A·cos(Δφ/2)·sin(kx − ωt + Δφ/2)</t>
  </si>
  <si>
    <t>resultant of two equal-amplitude waves</t>
  </si>
  <si>
    <t>Resultant amplitude: A_R = 2A·cos(Δφ/2)</t>
  </si>
  <si>
    <t>A_R = 2A when Δφ = 0 (constructive); A_R = 0 when Δφ = π (destructive)</t>
  </si>
  <si>
    <t>Beat frequency: f_beat =</t>
  </si>
  <si>
    <t>f₁ − f₂</t>
  </si>
  <si>
    <t>String fixed both ends (length L)</t>
  </si>
  <si>
    <t>f_n = n·v/(2L), n = 1, 2, 3, ...</t>
  </si>
  <si>
    <t>all harmonics; λ_n = 2L/n</t>
  </si>
  <si>
    <t>Pipe open at both ends</t>
  </si>
  <si>
    <t>all harmonics</t>
  </si>
  <si>
    <t>Pipe closed at one end</t>
  </si>
  <si>
    <t>f_n = n·v/(4L), n = 1, 3, 5, ...</t>
  </si>
  <si>
    <t>odd harmonics only; λ_n = 4L/n</t>
  </si>
  <si>
    <t>Symbols and units</t>
  </si>
  <si>
    <t>Node-to-node distance = λ/2</t>
  </si>
  <si>
    <t>Node-to-antinode distance = λ/4</t>
  </si>
  <si>
    <t>String: v = √(T/μ) → f₁ = (1/2L)·√(T/μ)</t>
  </si>
  <si>
    <t>Speed of sound in air ≈ 340 m s⁻¹ at room temperature</t>
  </si>
  <si>
    <t>Path difference: Δ = d·sin θ</t>
  </si>
  <si>
    <t>d = slit separation (m); θ = angle from the central axis</t>
  </si>
  <si>
    <t>Bright fringes (maxima): d·sin θ = m·λ, m = 0, ±1, ±2, ...</t>
  </si>
  <si>
    <t>m = order number</t>
  </si>
  <si>
    <t>Dark fringes (minima): d·sin θ = (m + ½)·λ</t>
  </si>
  <si>
    <t>Small angle: y_m = m·λ·D / d</t>
  </si>
  <si>
    <t>y = distance from the central maximum (m); D = slit-to-screen distance (m)</t>
  </si>
  <si>
    <t>Fringe spacing: Δy = λ·D / d</t>
  </si>
  <si>
    <t>λ = Δy·d / D</t>
  </si>
  <si>
    <t>wavelength determination</t>
  </si>
  <si>
    <t>Constructive (one phase change): 2·n·t = (m + ½)·λ</t>
  </si>
  <si>
    <t>n = film refractive index; t = film thickness (m)</t>
  </si>
  <si>
    <t>Destructive (one phase change): 2·n·t = m·λ</t>
  </si>
  <si>
    <t>Anti-reflective coating minimum thickness: t = λ/(4·n)</t>
  </si>
  <si>
    <t>Wavelength in the film: λ_film = λ_vacuum / n</t>
  </si>
  <si>
    <t>Grating equation: d·sin θ = m·λ</t>
  </si>
  <si>
    <t>d = grating spacing (m); m = order; θ = diffraction angle</t>
  </si>
  <si>
    <t>d = 1 / N</t>
  </si>
  <si>
    <t>N = lines per metre (m⁻¹)</t>
  </si>
  <si>
    <t>Maximum order: m_max = d / λ (take the integer part)</t>
  </si>
  <si>
    <t>Minima: a·sin θ = m·λ, m = ±1, ±2, ...</t>
  </si>
  <si>
    <t>a = slit width (m); note m = 0 gives no minimum</t>
  </si>
  <si>
    <t>Small angle: y_m = m·λ·D / a</t>
  </si>
  <si>
    <t>Central maximum width = 2·λ·D / a</t>
  </si>
  <si>
    <t>m — twice the spacing of other maxima</t>
  </si>
  <si>
    <t>Angular width of the central maximum ≈ 2λ/a</t>
  </si>
  <si>
    <t>B (T); μ₀ = 4π × 10⁻⁷ T m A⁻¹; I (A); r (m)</t>
  </si>
  <si>
    <t>Loop centre: B = μ₀·N·I / (2·R)</t>
  </si>
  <si>
    <t>R = loop radius (m); N = turns</t>
  </si>
  <si>
    <t>Solenoid: B = μ₀·n·I = μ₀·N·I/L</t>
  </si>
  <si>
    <t>n = turns per metre (m⁻¹); L = length (m)</t>
  </si>
  <si>
    <t>Helmholtz pair (separation = R): B_centre = (8·μ₀·N·I)/(5√5·R) ≈ 0.7155·μ₀·N·I/R</t>
  </si>
  <si>
    <t>T</t>
  </si>
  <si>
    <t>F = B·I·L·sin θ</t>
  </si>
  <si>
    <t>F (N); B (T); I (A); L = length in the field (m); θ = angle between the conductor and B</t>
  </si>
  <si>
    <t>F = B·I·L</t>
  </si>
  <si>
    <t>F = 0</t>
  </si>
  <si>
    <t>when θ = 0°</t>
  </si>
  <si>
    <t>τ = B·I·A·N·cos α</t>
  </si>
  <si>
    <t>τ (N m); A = coil area (m²); N = turns; α = angle between the coil *plane* and B</t>
  </si>
  <si>
    <t>τ = B·I·A·N·sin θ</t>
  </si>
  <si>
    <t>θ = angle between the *normal to the coil* and B</t>
  </si>
  <si>
    <t>τ_max = B·I·A·N</t>
  </si>
  <si>
    <t>when the coil plane is parallel to B</t>
  </si>
  <si>
    <t>Magnetic moment: m = N·I·A ; τ = m × B</t>
  </si>
  <si>
    <t>A m²</t>
  </si>
  <si>
    <t>F = q·v·B·sin θ</t>
  </si>
  <si>
    <t>F (N); q (C); v (m s⁻¹); B (T)</t>
  </si>
  <si>
    <t>F = q·v·B</t>
  </si>
  <si>
    <t>when v ⊥ B</t>
  </si>
  <si>
    <t>Circular motion: q·v·B = m·v²/r → r = m·v / (q·B)</t>
  </si>
  <si>
    <t>r = radius (m)</t>
  </si>
  <si>
    <t>Period: T = 2π·m / (q·B)</t>
  </si>
  <si>
    <t>s — independent of speed</t>
  </si>
  <si>
    <t>Cyclotron frequency: f = q·B / (2π·m)</t>
  </si>
  <si>
    <t>Velocity selector: q·E = q·v·B → v = E / B</t>
  </si>
  <si>
    <t>Mass spectrometer: m = q·B·r / v = q·B²·r / E (with a velocity selector)</t>
  </si>
  <si>
    <t>kg</t>
  </si>
  <si>
    <t>F/L = μ₀·I₁·I₂ / (2π·d)</t>
  </si>
  <si>
    <t>F/L = force per unit length (N m⁻¹); d = separation (m)</t>
  </si>
  <si>
    <t>F = μ₀·I₁·I₂·L / (2π·d)</t>
  </si>
  <si>
    <t>Same direction → attraction · Opposite → repulsion</t>
  </si>
  <si>
    <t>Φ = B·A·cos θ</t>
  </si>
  <si>
    <t>Φ = magnetic flux (Wb); B (T); A = area (m²); θ = angle between B and the area normal</t>
  </si>
  <si>
    <t>Φ = B·A</t>
  </si>
  <si>
    <t>when B ⊥ the plane of the coil</t>
  </si>
  <si>
    <t>Flux linkage = N·Φ</t>
  </si>
  <si>
    <t>weber-turns (Wb-turns)</t>
  </si>
  <si>
    <t>1 Wb = 1 T m²</t>
  </si>
  <si>
    <t>ε = −N·(ΔΦ / Δt)</t>
  </si>
  <si>
    <t>ε = induced e.m.f. (V); N = turns; ΔΦ (Wb); Δt (s)</t>
  </si>
  <si>
    <t>ε = −N·A·(ΔB/Δt)</t>
  </si>
  <si>
    <t>for a changing field at constant area</t>
  </si>
  <si>
    <t>ε = −N·B·(ΔA/Δt)</t>
  </si>
  <si>
    <t>for a changing area at constant field</t>
  </si>
  <si>
    <t>Rotating coil: ε = N·B·A·ω·sin(ω·t) ; ε_peak = N·B·A·ω</t>
  </si>
  <si>
    <t>Induced current: I = ε / R</t>
  </si>
  <si>
    <t>Charge circulated: q = N·ΔΦ / R</t>
  </si>
  <si>
    <t>ε = B·L·v</t>
  </si>
  <si>
    <t>ε (V); B (T); L = conductor length (m); v = velocity perpendicular to B (m s⁻¹)</t>
  </si>
  <si>
    <t>ε = B·L·v·sin θ</t>
  </si>
  <si>
    <t>for velocity at angle θ to B</t>
  </si>
  <si>
    <t>I = ε / R = B·L·v / R</t>
  </si>
  <si>
    <t>Retarding force: F = B·I·L = B²L²v / R</t>
  </si>
  <si>
    <t>Power dissipated: P = ε²/R = (BLv)²/R</t>
  </si>
  <si>
    <t>ε = N·B·A·ω·sin(ω·t)</t>
  </si>
  <si>
    <t>instantaneous e.m.f. (V)</t>
  </si>
  <si>
    <t>ε_peak = N·B·A·ω</t>
  </si>
  <si>
    <t>ε_rms = ε_peak / √2</t>
  </si>
  <si>
    <t>f = rotation rate</t>
  </si>
  <si>
    <t>ε = −L·(ΔI / Δt)</t>
  </si>
  <si>
    <t>ε = back e.m.f. (V); L = inductance (H); ΔI (A); Δt (s)</t>
  </si>
  <si>
    <t>L = N·Φ / I</t>
  </si>
  <si>
    <t>H</t>
  </si>
  <si>
    <t>Solenoid: L = μ₀·N²·A / l</t>
  </si>
  <si>
    <t>A = cross-sectional area (m²); l = length (m)</t>
  </si>
  <si>
    <t>1 H = 1 V s A⁻¹ = 1 Wb A⁻¹</t>
  </si>
  <si>
    <t>Time constant: τ = L / R</t>
  </si>
  <si>
    <t>Growth: I = I_max(1 − e^(−t/τ)), I_max = ε/R</t>
  </si>
  <si>
    <t>Decay: I = I₀·e^(−t/τ)</t>
  </si>
  <si>
    <t>After t = τ: I reaches 63 % of maximum (growth) or falls to 37 % (decay)</t>
  </si>
  <si>
    <t>E = ½·L·I²</t>
  </si>
  <si>
    <t>energy stored in an inductor (J)</t>
  </si>
  <si>
    <t>Energy density: u = B² / (2·μ₀)</t>
  </si>
  <si>
    <t>J m⁻³</t>
  </si>
  <si>
    <t>Compare: capacitor E = ½·C·V²</t>
  </si>
  <si>
    <t>f₀ = 1 / (2π·√(L·C))</t>
  </si>
  <si>
    <t>resonant frequency (Hz)</t>
  </si>
  <si>
    <t>ω₀ = 1 / √(L·C)</t>
  </si>
  <si>
    <t>T = 2π·√(L·C)</t>
  </si>
  <si>
    <t>period (s)</t>
  </si>
  <si>
    <t>Total energy: E = ½·C·V₀² = ½·L·I₀²</t>
  </si>
  <si>
    <t>J (constant in an ideal LC circuit)</t>
  </si>
  <si>
    <t>v = V_peak·sin(ω·t) ; i = I_peak·sin(ω·t)</t>
  </si>
  <si>
    <t>in phase (phase difference 0)</t>
  </si>
  <si>
    <t>V_rms = V_peak/√2 ; I_rms = I_peak/√2</t>
  </si>
  <si>
    <t>V, A</t>
  </si>
  <si>
    <t>V_rms = I_rms·R</t>
  </si>
  <si>
    <t>P_average = I_rms²·R = V_rms·I_rms = V_rms²/R</t>
  </si>
  <si>
    <t>P_average = ½·V_peak·I_peak</t>
  </si>
  <si>
    <t>X_C = 1 / (2π·f·C) = 1/(ω·C)</t>
  </si>
  <si>
    <t>X_C = capacitive reactance (Ω); f (Hz); C (F)</t>
  </si>
  <si>
    <t>V_rms = I_rms·X_C</t>
  </si>
  <si>
    <t>Current leads voltage by 90°</t>
  </si>
  <si>
    <t>phase</t>
  </si>
  <si>
    <t>X_C ∝ 1/f — a capacitor blocks DC and passes high frequencies</t>
  </si>
  <si>
    <t>Average power = 0</t>
  </si>
  <si>
    <t>X_L = 2π·f·L = ω·L</t>
  </si>
  <si>
    <t>X_L = inductive reactance (Ω); L (H)</t>
  </si>
  <si>
    <t>V_rms = I_rms·X_L</t>
  </si>
  <si>
    <t>Current lags voltage by 90°</t>
  </si>
  <si>
    <t>X_L ∝ f — an inductor passes DC and blocks high frequencies</t>
  </si>
  <si>
    <t>Z = √(R² + (X_L − X_C)²)</t>
  </si>
  <si>
    <t>Z = impedance (Ω)</t>
  </si>
  <si>
    <t>I_rms = V_rms / Z</t>
  </si>
  <si>
    <t>tan φ = (X_L − X_C) / R</t>
  </si>
  <si>
    <t>φ = phase angle (degrees or rad)</t>
  </si>
  <si>
    <t>cos φ = R / Z</t>
  </si>
  <si>
    <t>power factor (dimensionless)</t>
  </si>
  <si>
    <t>P_true = V_rms·I_rms·cos φ = I_rms²·R</t>
  </si>
  <si>
    <t>V_R = I·R ; V_L = I·X_L ; V_C = I·X_C</t>
  </si>
  <si>
    <t>V_total = √(V_R² + (V_L − V_C)²)</t>
  </si>
  <si>
    <t>V — note the voltages add as phasors, not arithmetically</t>
  </si>
  <si>
    <t>At resonance: X_L = X_C</t>
  </si>
  <si>
    <t>At resonance: Z = R (minimum) ; I = V/R (maximum) ; φ = 0 ; power factor = 1</t>
  </si>
  <si>
    <t>Quality factor: Q = (1/R)·√(L/C) = ω₀L/R</t>
  </si>
  <si>
    <t>Bandwidth: Δf = f₀ / Q</t>
  </si>
  <si>
    <t>V_s/V_p = N_s/N_p</t>
  </si>
  <si>
    <t>I_s/I_p = N_p/N_s</t>
  </si>
  <si>
    <t>Efficiency = (V_s·I_s)/(V_p·I_p) × 100 %</t>
  </si>
  <si>
    <t>Transmission loss: P_loss = I²·R_line</t>
  </si>
  <si>
    <t>I = P/V so P_loss = (P/V)²·R = P²R/V²</t>
  </si>
  <si>
    <t>Percentage loss = P_loss / P_transmitted × 100 %</t>
  </si>
  <si>
    <t>Forward voltage drop: ≈ 0.7 V (silicon), ≈ 0.3 V (germanium)</t>
  </si>
  <si>
    <t>LED photon energy: E = h·f = h·c/λ ≈ e·V_forward</t>
  </si>
  <si>
    <t>h = 6.63 × 10⁻³⁴ J s</t>
  </si>
  <si>
    <t>I_E = I_B + I_C</t>
  </si>
  <si>
    <t>currents in amperes (A)</t>
  </si>
  <si>
    <t>β (h_FE) = I_C / I_B</t>
  </si>
  <si>
    <t>DC current gain (dimensionless)</t>
  </si>
  <si>
    <t>I_C = β·I_B</t>
  </si>
  <si>
    <t>Voltage gain (common emitter) ≈ R_C / R_E</t>
  </si>
  <si>
    <t>approximate</t>
  </si>
  <si>
    <t>Galilean: x' = x − v·t ; t' = t</t>
  </si>
  <si>
    <t>m, s</t>
  </si>
  <si>
    <t>Galilean velocity addition: u' = u − v</t>
  </si>
  <si>
    <t>Lorentz factor: γ = 1/√(1 − v²/c²)</t>
  </si>
  <si>
    <t>dimensionless; c = 3.0 × 10⁸ m s⁻¹</t>
  </si>
  <si>
    <t>Time dilation: Δt = γ·Δt₀</t>
  </si>
  <si>
    <t>Δt₀ = proper time in the moving frame (s)</t>
  </si>
  <si>
    <t>Length contraction: L = L₀ / γ</t>
  </si>
  <si>
    <t>L₀ = proper length (m)</t>
  </si>
  <si>
    <t>Relativistic mass: m = γ·m₀</t>
  </si>
  <si>
    <t>Total energy: E = γ·m₀·c²</t>
  </si>
  <si>
    <t>Rest energy: E₀ = m₀·c²</t>
  </si>
  <si>
    <t>Kinetic energy: E_k = (γ − 1)·m₀·c²</t>
  </si>
  <si>
    <t>Relativistic momentum: p = γ·m₀·v</t>
  </si>
  <si>
    <t>E² = (p·c)² + (m₀·c²)²</t>
  </si>
  <si>
    <t>energy–momentum relation</t>
  </si>
  <si>
    <t>x' = γ(x − v·t)</t>
  </si>
  <si>
    <t>t' = γ(t − v·x/c²)</t>
  </si>
  <si>
    <t>Velocity addition: u' = (u − v) / (1 − u·v/c²)</t>
  </si>
  <si>
    <t>e = 1.6 × 10⁻¹⁹ C ; m_e = 9.11 × 10⁻³¹ kg</t>
  </si>
  <si>
    <t>e/m_e = 1.76 × 10¹¹ C kg⁻¹</t>
  </si>
  <si>
    <t>Millikan: q·E = m·g → q = m·g·d/V</t>
  </si>
  <si>
    <t>Accelerated electron: ½m_e·v² = e·V → v = √(2eV/m_e)</t>
  </si>
  <si>
    <t>Nuclide notation: ᴬ_Z X — A = mass number, Z = atomic number</t>
  </si>
  <si>
    <t>Number of neutrons N = A − Z</t>
  </si>
  <si>
    <t>Nuclear radius: R = R₀·A^(1/3), R₀ ≈ 1.2 × 10⁻¹⁵ m</t>
  </si>
  <si>
    <t>Nuclear diameter ≈ 10⁻¹⁵ m vs atomic diameter ≈ 10⁻¹⁰ m</t>
  </si>
  <si>
    <t>ratio ≈ 1 : 100 000</t>
  </si>
  <si>
    <t>Angular momentum quantisation: m·v·r = n·h/(2π)</t>
  </si>
  <si>
    <t>n = 1, 2, 3, ...; h = 6.63 × 10⁻³⁴ J s</t>
  </si>
  <si>
    <t>Hydrogen energy levels: E_n = −13.6 / n² eV</t>
  </si>
  <si>
    <t>eV; multiply by 1.6 × 10⁻¹⁹ for joules</t>
  </si>
  <si>
    <t>Photon energy: ΔE = E_final − E_initial = h·f</t>
  </si>
  <si>
    <t>E = h·f = h·c / λ</t>
  </si>
  <si>
    <t>J; c = 3.0 × 10⁸ m s⁻¹</t>
  </si>
  <si>
    <t>λ = h·c / ΔE</t>
  </si>
  <si>
    <t>Rydberg: 1/λ = R_H(1/n₁² − 1/n₂²), R_H = 1.097 × 10⁷ m⁻¹</t>
  </si>
  <si>
    <t>m⁻¹</t>
  </si>
  <si>
    <t>Orbit radius: r_n = n²·a₀, a₀ = 5.29 × 10⁻¹¹ m</t>
  </si>
  <si>
    <t>Ionisation energy of hydrogen (n = 1 → ∞) = 13.6 eV</t>
  </si>
  <si>
    <t>Quantity</t>
  </si>
  <si>
    <t>Symbol</t>
  </si>
  <si>
    <t>Value</t>
  </si>
  <si>
    <t>Unit</t>
  </si>
  <si>
    <t>Acceleration due to gravity</t>
  </si>
  <si>
    <t>g</t>
  </si>
  <si>
    <t>m s^-2</t>
  </si>
  <si>
    <t>CONFIGURABLE - some textbook sections use 10 m s^-2. Set globally.</t>
  </si>
  <si>
    <t>Speed of light in vacuum</t>
  </si>
  <si>
    <t>c</t>
  </si>
  <si>
    <t>m s^-1</t>
  </si>
  <si>
    <t>Elementary charge</t>
  </si>
  <si>
    <t>e</t>
  </si>
  <si>
    <t>Coulomb constant</t>
  </si>
  <si>
    <t>k</t>
  </si>
  <si>
    <t>N m^2 C^-2</t>
  </si>
  <si>
    <t>Permittivity of free space</t>
  </si>
  <si>
    <t>epsilon_0</t>
  </si>
  <si>
    <t>C^2 N^-1 m^-2</t>
  </si>
  <si>
    <t>Permeability of free space</t>
  </si>
  <si>
    <t>mu_0</t>
  </si>
  <si>
    <t>T m A^-1</t>
  </si>
  <si>
    <t>4*pi*10^-7</t>
  </si>
  <si>
    <t>Gravitational constant</t>
  </si>
  <si>
    <t>G</t>
  </si>
  <si>
    <t>N m^2 kg^-2</t>
  </si>
  <si>
    <t>Universal gas constant</t>
  </si>
  <si>
    <t>R</t>
  </si>
  <si>
    <t>J mol^-1 K^-1</t>
  </si>
  <si>
    <t>Boltzmann constant</t>
  </si>
  <si>
    <t>k_B</t>
  </si>
  <si>
    <t>J K^-1</t>
  </si>
  <si>
    <t>Avogadro constant</t>
  </si>
  <si>
    <t>N_A</t>
  </si>
  <si>
    <t>mol^-1</t>
  </si>
  <si>
    <t>Planck constant</t>
  </si>
  <si>
    <t>h</t>
  </si>
  <si>
    <t>J s</t>
  </si>
  <si>
    <t>Electron mass</t>
  </si>
  <si>
    <t>m_e</t>
  </si>
  <si>
    <t>Specific heat capacity of water</t>
  </si>
  <si>
    <t>c_water</t>
  </si>
  <si>
    <t>J kg^-1 K^-1</t>
  </si>
  <si>
    <t>Latent heat of fusion of water</t>
  </si>
  <si>
    <t>L_f</t>
  </si>
  <si>
    <t>J kg^-1</t>
  </si>
  <si>
    <t>Latent heat of vaporisation of water</t>
  </si>
  <si>
    <t>L_v</t>
  </si>
  <si>
    <t>Density of water</t>
  </si>
  <si>
    <t>rho_water</t>
  </si>
  <si>
    <t>kg m^-3</t>
  </si>
  <si>
    <t>Standard atmospheric pressure</t>
  </si>
  <si>
    <t>p_atm</t>
  </si>
  <si>
    <t>Speed of sound in air</t>
  </si>
  <si>
    <t>v_sound</t>
  </si>
  <si>
    <t>at room temperature</t>
  </si>
  <si>
    <t>Coverage Summary</t>
  </si>
  <si>
    <t>Lessons</t>
  </si>
  <si>
    <t>Topics</t>
  </si>
  <si>
    <t>Formulas</t>
  </si>
  <si>
    <t>Misconceptions</t>
  </si>
  <si>
    <t>TOTAL</t>
  </si>
  <si>
    <t>By grade</t>
  </si>
  <si>
    <t>Hours/week</t>
  </si>
  <si>
    <t>Chapters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</si>
</sst>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EEA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164" fontId="3" fillId="0" borderId="1" xfId="0" applyNumberFormat="1" applyFont="1" applyBorder="1" applyAlignment="1">
      <alignment vertical="top"/>
    </xf>
    <xf numFmtId="11" fontId="3" fillId="0" borderId="1" xfId="0" applyNumberFormat="1" applyFont="1" applyBorder="1" applyAlignment="1">
      <alignment vertical="top"/>
    </xf>
    <xf numFmtId="3" fontId="3" fillId="0" borderId="1" xfId="0" applyNumberFormat="1" applyFont="1" applyBorder="1" applyAlignment="1">
      <alignment vertical="top"/>
    </xf>
    <xf numFmtId="0" fontId="6" fillId="0" borderId="0" xfId="0" applyFont="1"/>
    <xf numFmtId="0" fontId="4" fillId="0" borderId="1" xfId="0" applyFont="1" applyBorder="1"/>
    <xf numFmtId="0" fontId="3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opLeftCell="A7" zoomScaleNormal="100" workbookViewId="0"/>
  </sheetViews>
  <sheetFormatPr defaultColWidth="8.6640625" defaultRowHeight="14.4" x14ac:dyDescent="0.3"/>
  <cols>
    <col min="1" max="1" width="26" customWidth="1"/>
    <col min="2" max="2" width="96" customWidth="1"/>
  </cols>
  <sheetData>
    <row r="1" spans="1:2" ht="22.8" x14ac:dyDescent="0.4">
      <c r="A1" s="1" t="s">
        <v>0</v>
      </c>
    </row>
    <row r="2" spans="1:2" x14ac:dyDescent="0.3">
      <c r="A2" s="2" t="s">
        <v>1</v>
      </c>
    </row>
    <row r="3" spans="1:2" x14ac:dyDescent="0.3">
      <c r="A3" s="3"/>
      <c r="B3" s="4"/>
    </row>
    <row r="4" spans="1:2" x14ac:dyDescent="0.3">
      <c r="A4" s="5" t="s">
        <v>2</v>
      </c>
      <c r="B4" s="4" t="s">
        <v>3</v>
      </c>
    </row>
    <row r="5" spans="1:2" x14ac:dyDescent="0.3">
      <c r="A5" s="5" t="s">
        <v>4</v>
      </c>
      <c r="B5" s="4" t="s">
        <v>5</v>
      </c>
    </row>
    <row r="6" spans="1:2" x14ac:dyDescent="0.3">
      <c r="A6" s="5" t="s">
        <v>6</v>
      </c>
      <c r="B6" s="4" t="s">
        <v>7</v>
      </c>
    </row>
    <row r="7" spans="1:2" x14ac:dyDescent="0.3">
      <c r="A7" s="3"/>
      <c r="B7" s="4"/>
    </row>
    <row r="8" spans="1:2" x14ac:dyDescent="0.3">
      <c r="A8" s="5" t="s">
        <v>8</v>
      </c>
      <c r="B8" s="4">
        <v>277</v>
      </c>
    </row>
    <row r="9" spans="1:2" x14ac:dyDescent="0.3">
      <c r="A9" s="5" t="s">
        <v>9</v>
      </c>
      <c r="B9" s="4">
        <v>708</v>
      </c>
    </row>
    <row r="10" spans="1:2" x14ac:dyDescent="0.3">
      <c r="A10" s="5" t="s">
        <v>10</v>
      </c>
      <c r="B10" s="4">
        <v>787</v>
      </c>
    </row>
    <row r="11" spans="1:2" x14ac:dyDescent="0.3">
      <c r="A11" s="5" t="s">
        <v>11</v>
      </c>
      <c r="B11" s="4">
        <v>873</v>
      </c>
    </row>
    <row r="12" spans="1:2" x14ac:dyDescent="0.3">
      <c r="A12" s="5" t="s">
        <v>12</v>
      </c>
      <c r="B12" s="4">
        <v>284</v>
      </c>
    </row>
    <row r="13" spans="1:2" x14ac:dyDescent="0.3">
      <c r="A13" s="3"/>
      <c r="B13" s="4"/>
    </row>
    <row r="14" spans="1:2" x14ac:dyDescent="0.3">
      <c r="A14" s="5" t="s">
        <v>13</v>
      </c>
      <c r="B14" s="4" t="s">
        <v>14</v>
      </c>
    </row>
    <row r="15" spans="1:2" x14ac:dyDescent="0.3">
      <c r="A15" s="5" t="s">
        <v>15</v>
      </c>
      <c r="B15" s="4" t="s">
        <v>16</v>
      </c>
    </row>
    <row r="16" spans="1:2" ht="26.4" x14ac:dyDescent="0.3">
      <c r="A16" s="5" t="s">
        <v>17</v>
      </c>
      <c r="B16" s="4" t="s">
        <v>18</v>
      </c>
    </row>
    <row r="17" spans="1:2" x14ac:dyDescent="0.3">
      <c r="A17" s="3"/>
      <c r="B17" s="4"/>
    </row>
    <row r="18" spans="1:2" x14ac:dyDescent="0.3">
      <c r="A18" s="5" t="s">
        <v>19</v>
      </c>
      <c r="B18" s="4"/>
    </row>
    <row r="19" spans="1:2" x14ac:dyDescent="0.3">
      <c r="A19" s="3" t="s">
        <v>20</v>
      </c>
      <c r="B19" s="4" t="s">
        <v>21</v>
      </c>
    </row>
    <row r="20" spans="1:2" x14ac:dyDescent="0.3">
      <c r="A20" s="3" t="s">
        <v>22</v>
      </c>
      <c r="B20" s="4" t="s">
        <v>23</v>
      </c>
    </row>
    <row r="21" spans="1:2" x14ac:dyDescent="0.3">
      <c r="A21" s="3" t="s">
        <v>24</v>
      </c>
      <c r="B21" s="4" t="s">
        <v>25</v>
      </c>
    </row>
    <row r="22" spans="1:2" x14ac:dyDescent="0.3">
      <c r="A22" s="3" t="s">
        <v>26</v>
      </c>
      <c r="B22" s="4" t="s">
        <v>27</v>
      </c>
    </row>
    <row r="23" spans="1:2" x14ac:dyDescent="0.3">
      <c r="A23" s="3" t="s">
        <v>28</v>
      </c>
      <c r="B23" s="4" t="s">
        <v>29</v>
      </c>
    </row>
    <row r="24" spans="1:2" x14ac:dyDescent="0.3">
      <c r="A24" s="3"/>
      <c r="B24" s="4"/>
    </row>
    <row r="25" spans="1:2" ht="26.4" x14ac:dyDescent="0.3">
      <c r="A25" s="5" t="s">
        <v>30</v>
      </c>
      <c r="B25" s="4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7" customWidth="1"/>
    <col min="3" max="4" width="12" customWidth="1"/>
    <col min="5" max="5" width="30" customWidth="1"/>
    <col min="6" max="6" width="32" customWidth="1"/>
    <col min="7" max="7" width="38" customWidth="1"/>
    <col min="8" max="8" width="9" customWidth="1"/>
    <col min="9" max="10" width="70" customWidth="1"/>
    <col min="11" max="11" width="9" customWidth="1"/>
    <col min="12" max="12" width="70" customWidth="1"/>
    <col min="13" max="13" width="9" customWidth="1"/>
    <col min="14" max="14" width="14" customWidth="1"/>
    <col min="15" max="15" width="55" customWidth="1"/>
    <col min="16" max="16" width="60" customWidth="1"/>
    <col min="17" max="17" width="9" customWidth="1"/>
    <col min="18" max="18" width="50" customWidth="1"/>
    <col min="19" max="19" width="45" customWidth="1"/>
    <col min="20" max="21" width="26" customWidth="1"/>
  </cols>
  <sheetData>
    <row r="1" spans="1:21" ht="30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</row>
    <row r="2" spans="1:21" ht="79.2" x14ac:dyDescent="0.3">
      <c r="A2" s="7" t="s">
        <v>53</v>
      </c>
      <c r="B2" s="8">
        <v>7</v>
      </c>
      <c r="C2" s="9" t="s">
        <v>54</v>
      </c>
      <c r="D2" s="9" t="s">
        <v>55</v>
      </c>
      <c r="E2" s="9" t="s">
        <v>56</v>
      </c>
      <c r="F2" s="9" t="s">
        <v>57</v>
      </c>
      <c r="G2" s="9" t="s">
        <v>58</v>
      </c>
      <c r="H2" s="9">
        <v>1</v>
      </c>
      <c r="I2" s="10" t="s">
        <v>59</v>
      </c>
      <c r="J2" s="10" t="s">
        <v>60</v>
      </c>
      <c r="K2" s="9">
        <v>0</v>
      </c>
      <c r="L2" s="10" t="s">
        <v>61</v>
      </c>
      <c r="M2" s="9">
        <v>3</v>
      </c>
      <c r="N2" s="9" t="s">
        <v>62</v>
      </c>
      <c r="O2" s="10" t="s">
        <v>63</v>
      </c>
      <c r="P2" s="10" t="s">
        <v>64</v>
      </c>
      <c r="Q2" s="9">
        <v>2</v>
      </c>
      <c r="R2" s="10"/>
      <c r="S2" s="10"/>
      <c r="T2" s="9"/>
      <c r="U2" s="9"/>
    </row>
    <row r="3" spans="1:21" ht="66" x14ac:dyDescent="0.3">
      <c r="A3" s="7" t="s">
        <v>65</v>
      </c>
      <c r="B3" s="8">
        <v>7</v>
      </c>
      <c r="C3" s="9" t="s">
        <v>54</v>
      </c>
      <c r="D3" s="9" t="s">
        <v>55</v>
      </c>
      <c r="E3" s="9" t="s">
        <v>56</v>
      </c>
      <c r="F3" s="9" t="s">
        <v>57</v>
      </c>
      <c r="G3" s="9" t="s">
        <v>66</v>
      </c>
      <c r="H3" s="9">
        <v>2</v>
      </c>
      <c r="I3" s="10" t="s">
        <v>67</v>
      </c>
      <c r="J3" s="10" t="s">
        <v>68</v>
      </c>
      <c r="K3" s="9">
        <v>1</v>
      </c>
      <c r="L3" s="10" t="s">
        <v>69</v>
      </c>
      <c r="M3" s="9">
        <v>3</v>
      </c>
      <c r="N3" s="9" t="s">
        <v>62</v>
      </c>
      <c r="O3" s="10" t="s">
        <v>70</v>
      </c>
      <c r="P3" s="10" t="s">
        <v>71</v>
      </c>
      <c r="Q3" s="9">
        <v>2</v>
      </c>
      <c r="R3" s="10"/>
      <c r="S3" s="10"/>
      <c r="T3" s="9"/>
      <c r="U3" s="9"/>
    </row>
    <row r="4" spans="1:21" ht="79.2" x14ac:dyDescent="0.3">
      <c r="A4" s="7" t="s">
        <v>72</v>
      </c>
      <c r="B4" s="8">
        <v>7</v>
      </c>
      <c r="C4" s="9" t="s">
        <v>54</v>
      </c>
      <c r="D4" s="9" t="s">
        <v>55</v>
      </c>
      <c r="E4" s="9" t="s">
        <v>56</v>
      </c>
      <c r="F4" s="9" t="s">
        <v>57</v>
      </c>
      <c r="G4" s="9" t="s">
        <v>73</v>
      </c>
      <c r="H4" s="9">
        <v>3</v>
      </c>
      <c r="I4" s="10" t="s">
        <v>74</v>
      </c>
      <c r="J4" s="10" t="s">
        <v>60</v>
      </c>
      <c r="K4" s="9">
        <v>0</v>
      </c>
      <c r="L4" s="10" t="s">
        <v>75</v>
      </c>
      <c r="M4" s="9">
        <v>2</v>
      </c>
      <c r="N4" s="9" t="s">
        <v>76</v>
      </c>
      <c r="O4" s="10" t="s">
        <v>77</v>
      </c>
      <c r="P4" s="10" t="s">
        <v>78</v>
      </c>
      <c r="Q4" s="9">
        <v>1</v>
      </c>
      <c r="R4" s="10"/>
      <c r="S4" s="10"/>
      <c r="T4" s="9"/>
      <c r="U4" s="9"/>
    </row>
    <row r="5" spans="1:21" ht="52.8" x14ac:dyDescent="0.3">
      <c r="A5" s="7" t="s">
        <v>79</v>
      </c>
      <c r="B5" s="8">
        <v>7</v>
      </c>
      <c r="C5" s="9" t="s">
        <v>54</v>
      </c>
      <c r="D5" s="9" t="s">
        <v>55</v>
      </c>
      <c r="E5" s="9" t="s">
        <v>56</v>
      </c>
      <c r="F5" s="9" t="s">
        <v>57</v>
      </c>
      <c r="G5" s="9" t="s">
        <v>80</v>
      </c>
      <c r="H5" s="9">
        <v>4</v>
      </c>
      <c r="I5" s="10" t="s">
        <v>81</v>
      </c>
      <c r="J5" s="10" t="s">
        <v>60</v>
      </c>
      <c r="K5" s="9">
        <v>0</v>
      </c>
      <c r="L5" s="10" t="s">
        <v>82</v>
      </c>
      <c r="M5" s="9">
        <v>2</v>
      </c>
      <c r="N5" s="9" t="s">
        <v>76</v>
      </c>
      <c r="O5" s="10" t="s">
        <v>83</v>
      </c>
      <c r="P5" s="10" t="s">
        <v>60</v>
      </c>
      <c r="Q5" s="9">
        <v>0</v>
      </c>
      <c r="R5" s="10"/>
      <c r="S5" s="10"/>
      <c r="T5" s="9"/>
      <c r="U5" s="9"/>
    </row>
    <row r="6" spans="1:21" ht="39.6" x14ac:dyDescent="0.3">
      <c r="A6" s="7" t="s">
        <v>84</v>
      </c>
      <c r="B6" s="8">
        <v>7</v>
      </c>
      <c r="C6" s="9" t="s">
        <v>54</v>
      </c>
      <c r="D6" s="9" t="s">
        <v>55</v>
      </c>
      <c r="E6" s="9" t="s">
        <v>56</v>
      </c>
      <c r="F6" s="9" t="s">
        <v>57</v>
      </c>
      <c r="G6" s="9" t="s">
        <v>85</v>
      </c>
      <c r="H6" s="9">
        <v>5</v>
      </c>
      <c r="I6" s="10" t="s">
        <v>86</v>
      </c>
      <c r="J6" s="10" t="s">
        <v>60</v>
      </c>
      <c r="K6" s="9">
        <v>0</v>
      </c>
      <c r="L6" s="10" t="s">
        <v>60</v>
      </c>
      <c r="M6" s="9">
        <v>0</v>
      </c>
      <c r="N6" s="9" t="s">
        <v>87</v>
      </c>
      <c r="O6" s="10" t="s">
        <v>88</v>
      </c>
      <c r="P6" s="10" t="s">
        <v>60</v>
      </c>
      <c r="Q6" s="9">
        <v>0</v>
      </c>
      <c r="R6" s="10"/>
      <c r="S6" s="10"/>
      <c r="T6" s="9"/>
      <c r="U6" s="9"/>
    </row>
    <row r="7" spans="1:21" ht="66" x14ac:dyDescent="0.3">
      <c r="A7" s="7" t="s">
        <v>89</v>
      </c>
      <c r="B7" s="8">
        <v>7</v>
      </c>
      <c r="C7" s="9" t="s">
        <v>54</v>
      </c>
      <c r="D7" s="9" t="s">
        <v>55</v>
      </c>
      <c r="E7" s="9" t="s">
        <v>56</v>
      </c>
      <c r="F7" s="9" t="s">
        <v>57</v>
      </c>
      <c r="G7" s="9" t="s">
        <v>90</v>
      </c>
      <c r="H7" s="9">
        <v>6</v>
      </c>
      <c r="I7" s="10" t="s">
        <v>91</v>
      </c>
      <c r="J7" s="10" t="s">
        <v>92</v>
      </c>
      <c r="K7" s="9">
        <v>5</v>
      </c>
      <c r="L7" s="10" t="s">
        <v>93</v>
      </c>
      <c r="M7" s="9">
        <v>4</v>
      </c>
      <c r="N7" s="9" t="s">
        <v>62</v>
      </c>
      <c r="O7" s="10" t="s">
        <v>94</v>
      </c>
      <c r="P7" s="10" t="s">
        <v>95</v>
      </c>
      <c r="Q7" s="9">
        <v>2</v>
      </c>
      <c r="R7" s="10"/>
      <c r="S7" s="10"/>
      <c r="T7" s="9"/>
      <c r="U7" s="9" t="s">
        <v>96</v>
      </c>
    </row>
    <row r="8" spans="1:21" ht="79.2" x14ac:dyDescent="0.3">
      <c r="A8" s="7" t="s">
        <v>97</v>
      </c>
      <c r="B8" s="8">
        <v>7</v>
      </c>
      <c r="C8" s="9" t="s">
        <v>54</v>
      </c>
      <c r="D8" s="9" t="s">
        <v>55</v>
      </c>
      <c r="E8" s="9" t="s">
        <v>56</v>
      </c>
      <c r="F8" s="9" t="s">
        <v>57</v>
      </c>
      <c r="G8" s="9" t="s">
        <v>98</v>
      </c>
      <c r="H8" s="9">
        <v>7</v>
      </c>
      <c r="I8" s="10" t="s">
        <v>99</v>
      </c>
      <c r="J8" s="10" t="s">
        <v>60</v>
      </c>
      <c r="K8" s="9">
        <v>0</v>
      </c>
      <c r="L8" s="10" t="s">
        <v>100</v>
      </c>
      <c r="M8" s="9">
        <v>2</v>
      </c>
      <c r="N8" s="9" t="s">
        <v>101</v>
      </c>
      <c r="O8" s="10" t="s">
        <v>102</v>
      </c>
      <c r="P8" s="10" t="s">
        <v>103</v>
      </c>
      <c r="Q8" s="9">
        <v>2</v>
      </c>
      <c r="R8" s="10"/>
      <c r="S8" s="10"/>
      <c r="T8" s="9"/>
      <c r="U8" s="9" t="s">
        <v>104</v>
      </c>
    </row>
    <row r="9" spans="1:21" ht="105.6" x14ac:dyDescent="0.3">
      <c r="A9" s="7" t="s">
        <v>105</v>
      </c>
      <c r="B9" s="8">
        <v>7</v>
      </c>
      <c r="C9" s="9" t="s">
        <v>54</v>
      </c>
      <c r="D9" s="9" t="s">
        <v>55</v>
      </c>
      <c r="E9" s="9" t="s">
        <v>56</v>
      </c>
      <c r="F9" s="9" t="s">
        <v>106</v>
      </c>
      <c r="G9" s="9" t="s">
        <v>107</v>
      </c>
      <c r="H9" s="9">
        <v>8</v>
      </c>
      <c r="I9" s="10" t="s">
        <v>108</v>
      </c>
      <c r="J9" s="10" t="s">
        <v>109</v>
      </c>
      <c r="K9" s="9">
        <v>4</v>
      </c>
      <c r="L9" s="10" t="s">
        <v>110</v>
      </c>
      <c r="M9" s="9">
        <v>6</v>
      </c>
      <c r="N9" s="9" t="s">
        <v>62</v>
      </c>
      <c r="O9" s="10" t="s">
        <v>111</v>
      </c>
      <c r="P9" s="10" t="s">
        <v>112</v>
      </c>
      <c r="Q9" s="9">
        <v>3</v>
      </c>
      <c r="R9" s="10"/>
      <c r="S9" s="10" t="s">
        <v>113</v>
      </c>
      <c r="T9" s="9"/>
      <c r="U9" s="9" t="s">
        <v>114</v>
      </c>
    </row>
    <row r="10" spans="1:21" ht="52.8" x14ac:dyDescent="0.3">
      <c r="A10" s="7" t="s">
        <v>115</v>
      </c>
      <c r="B10" s="8">
        <v>7</v>
      </c>
      <c r="C10" s="9" t="s">
        <v>54</v>
      </c>
      <c r="D10" s="9" t="s">
        <v>55</v>
      </c>
      <c r="E10" s="9" t="s">
        <v>56</v>
      </c>
      <c r="F10" s="9" t="s">
        <v>106</v>
      </c>
      <c r="G10" s="9" t="s">
        <v>116</v>
      </c>
      <c r="H10" s="9">
        <v>9</v>
      </c>
      <c r="I10" s="10" t="s">
        <v>117</v>
      </c>
      <c r="J10" s="10" t="s">
        <v>118</v>
      </c>
      <c r="K10" s="9">
        <v>2</v>
      </c>
      <c r="L10" s="10" t="s">
        <v>119</v>
      </c>
      <c r="M10" s="9">
        <v>3</v>
      </c>
      <c r="N10" s="9" t="s">
        <v>62</v>
      </c>
      <c r="O10" s="10" t="s">
        <v>120</v>
      </c>
      <c r="P10" s="10" t="s">
        <v>121</v>
      </c>
      <c r="Q10" s="9">
        <v>1</v>
      </c>
      <c r="R10" s="10"/>
      <c r="S10" s="10"/>
      <c r="T10" s="9"/>
      <c r="U10" s="9"/>
    </row>
    <row r="11" spans="1:21" ht="79.2" x14ac:dyDescent="0.3">
      <c r="A11" s="7" t="s">
        <v>122</v>
      </c>
      <c r="B11" s="8">
        <v>7</v>
      </c>
      <c r="C11" s="9" t="s">
        <v>54</v>
      </c>
      <c r="D11" s="9" t="s">
        <v>55</v>
      </c>
      <c r="E11" s="9" t="s">
        <v>56</v>
      </c>
      <c r="F11" s="9" t="s">
        <v>106</v>
      </c>
      <c r="G11" s="9" t="s">
        <v>123</v>
      </c>
      <c r="H11" s="9">
        <v>10</v>
      </c>
      <c r="I11" s="10" t="s">
        <v>124</v>
      </c>
      <c r="J11" s="10" t="s">
        <v>60</v>
      </c>
      <c r="K11" s="9">
        <v>0</v>
      </c>
      <c r="L11" s="10" t="s">
        <v>125</v>
      </c>
      <c r="M11" s="9">
        <v>2</v>
      </c>
      <c r="N11" s="9" t="s">
        <v>126</v>
      </c>
      <c r="O11" s="10" t="s">
        <v>127</v>
      </c>
      <c r="P11" s="10" t="s">
        <v>60</v>
      </c>
      <c r="Q11" s="9">
        <v>0</v>
      </c>
      <c r="R11" s="10" t="s">
        <v>128</v>
      </c>
      <c r="S11" s="10"/>
      <c r="T11" s="9"/>
      <c r="U11" s="9"/>
    </row>
    <row r="12" spans="1:21" ht="105.6" x14ac:dyDescent="0.3">
      <c r="A12" s="7" t="s">
        <v>129</v>
      </c>
      <c r="B12" s="8">
        <v>7</v>
      </c>
      <c r="C12" s="9" t="s">
        <v>54</v>
      </c>
      <c r="D12" s="9" t="s">
        <v>55</v>
      </c>
      <c r="E12" s="9" t="s">
        <v>56</v>
      </c>
      <c r="F12" s="9" t="s">
        <v>130</v>
      </c>
      <c r="G12" s="9" t="s">
        <v>131</v>
      </c>
      <c r="H12" s="9">
        <v>11</v>
      </c>
      <c r="I12" s="10" t="s">
        <v>132</v>
      </c>
      <c r="J12" s="10" t="s">
        <v>133</v>
      </c>
      <c r="K12" s="9">
        <v>2</v>
      </c>
      <c r="L12" s="10" t="s">
        <v>134</v>
      </c>
      <c r="M12" s="9">
        <v>3</v>
      </c>
      <c r="N12" s="9" t="s">
        <v>62</v>
      </c>
      <c r="O12" s="10" t="s">
        <v>135</v>
      </c>
      <c r="P12" s="10" t="s">
        <v>136</v>
      </c>
      <c r="Q12" s="9">
        <v>2</v>
      </c>
      <c r="R12" s="10"/>
      <c r="S12" s="10"/>
      <c r="T12" s="9"/>
      <c r="U12" s="9"/>
    </row>
    <row r="13" spans="1:21" ht="52.8" x14ac:dyDescent="0.3">
      <c r="A13" s="7" t="s">
        <v>137</v>
      </c>
      <c r="B13" s="8">
        <v>7</v>
      </c>
      <c r="C13" s="9" t="s">
        <v>54</v>
      </c>
      <c r="D13" s="9" t="s">
        <v>55</v>
      </c>
      <c r="E13" s="9" t="s">
        <v>56</v>
      </c>
      <c r="F13" s="9" t="s">
        <v>130</v>
      </c>
      <c r="G13" s="9" t="s">
        <v>138</v>
      </c>
      <c r="H13" s="9">
        <v>12</v>
      </c>
      <c r="I13" s="10" t="s">
        <v>139</v>
      </c>
      <c r="J13" s="10" t="s">
        <v>60</v>
      </c>
      <c r="K13" s="9">
        <v>0</v>
      </c>
      <c r="L13" s="10" t="s">
        <v>140</v>
      </c>
      <c r="M13" s="9">
        <v>3</v>
      </c>
      <c r="N13" s="9" t="s">
        <v>101</v>
      </c>
      <c r="O13" s="10" t="s">
        <v>141</v>
      </c>
      <c r="P13" s="10" t="s">
        <v>142</v>
      </c>
      <c r="Q13" s="9">
        <v>1</v>
      </c>
      <c r="R13" s="10"/>
      <c r="S13" s="10"/>
      <c r="T13" s="9"/>
      <c r="U13" s="9"/>
    </row>
    <row r="14" spans="1:21" ht="52.8" x14ac:dyDescent="0.3">
      <c r="A14" s="7" t="s">
        <v>143</v>
      </c>
      <c r="B14" s="8">
        <v>7</v>
      </c>
      <c r="C14" s="9" t="s">
        <v>54</v>
      </c>
      <c r="D14" s="9" t="s">
        <v>55</v>
      </c>
      <c r="E14" s="9" t="s">
        <v>56</v>
      </c>
      <c r="F14" s="9" t="s">
        <v>130</v>
      </c>
      <c r="G14" s="9" t="s">
        <v>144</v>
      </c>
      <c r="H14" s="9">
        <v>13</v>
      </c>
      <c r="I14" s="10" t="s">
        <v>145</v>
      </c>
      <c r="J14" s="10" t="s">
        <v>60</v>
      </c>
      <c r="K14" s="9">
        <v>0</v>
      </c>
      <c r="L14" s="10" t="s">
        <v>146</v>
      </c>
      <c r="M14" s="9">
        <v>2</v>
      </c>
      <c r="N14" s="9" t="s">
        <v>87</v>
      </c>
      <c r="O14" s="10" t="s">
        <v>147</v>
      </c>
      <c r="P14" s="10" t="s">
        <v>60</v>
      </c>
      <c r="Q14" s="9">
        <v>0</v>
      </c>
      <c r="R14" s="10"/>
      <c r="S14" s="10"/>
      <c r="T14" s="9"/>
      <c r="U14" s="9"/>
    </row>
    <row r="15" spans="1:21" ht="26.4" x14ac:dyDescent="0.3">
      <c r="A15" s="7" t="s">
        <v>148</v>
      </c>
      <c r="B15" s="8">
        <v>7</v>
      </c>
      <c r="C15" s="9" t="s">
        <v>54</v>
      </c>
      <c r="D15" s="9" t="s">
        <v>55</v>
      </c>
      <c r="E15" s="9" t="s">
        <v>56</v>
      </c>
      <c r="F15" s="9" t="s">
        <v>149</v>
      </c>
      <c r="G15" s="9" t="s">
        <v>150</v>
      </c>
      <c r="H15" s="9">
        <v>14</v>
      </c>
      <c r="I15" s="10" t="s">
        <v>151</v>
      </c>
      <c r="J15" s="10" t="s">
        <v>60</v>
      </c>
      <c r="K15" s="9">
        <v>0</v>
      </c>
      <c r="L15" s="10" t="s">
        <v>60</v>
      </c>
      <c r="M15" s="9">
        <v>0</v>
      </c>
      <c r="N15" s="9" t="s">
        <v>87</v>
      </c>
      <c r="O15" s="10" t="s">
        <v>152</v>
      </c>
      <c r="P15" s="10" t="s">
        <v>60</v>
      </c>
      <c r="Q15" s="9">
        <v>0</v>
      </c>
      <c r="R15" s="10"/>
      <c r="S15" s="10"/>
      <c r="T15" s="9"/>
      <c r="U15" s="9"/>
    </row>
    <row r="16" spans="1:21" ht="66" x14ac:dyDescent="0.3">
      <c r="A16" s="7" t="s">
        <v>153</v>
      </c>
      <c r="B16" s="8">
        <v>7</v>
      </c>
      <c r="C16" s="9" t="s">
        <v>54</v>
      </c>
      <c r="D16" s="9" t="s">
        <v>55</v>
      </c>
      <c r="E16" s="9" t="s">
        <v>56</v>
      </c>
      <c r="F16" s="9" t="s">
        <v>149</v>
      </c>
      <c r="G16" s="9" t="s">
        <v>154</v>
      </c>
      <c r="H16" s="9">
        <v>15</v>
      </c>
      <c r="I16" s="10" t="s">
        <v>155</v>
      </c>
      <c r="J16" s="10" t="s">
        <v>60</v>
      </c>
      <c r="K16" s="9">
        <v>0</v>
      </c>
      <c r="L16" s="10" t="s">
        <v>156</v>
      </c>
      <c r="M16" s="9">
        <v>3</v>
      </c>
      <c r="N16" s="9" t="s">
        <v>101</v>
      </c>
      <c r="O16" s="10" t="s">
        <v>157</v>
      </c>
      <c r="P16" s="10" t="s">
        <v>158</v>
      </c>
      <c r="Q16" s="9">
        <v>2</v>
      </c>
      <c r="R16" s="10"/>
      <c r="S16" s="10"/>
      <c r="T16" s="9"/>
      <c r="U16" s="9" t="s">
        <v>159</v>
      </c>
    </row>
    <row r="17" spans="1:21" ht="66" x14ac:dyDescent="0.3">
      <c r="A17" s="7" t="s">
        <v>160</v>
      </c>
      <c r="B17" s="8">
        <v>7</v>
      </c>
      <c r="C17" s="9" t="s">
        <v>54</v>
      </c>
      <c r="D17" s="9" t="s">
        <v>55</v>
      </c>
      <c r="E17" s="9" t="s">
        <v>56</v>
      </c>
      <c r="F17" s="9" t="s">
        <v>149</v>
      </c>
      <c r="G17" s="9" t="s">
        <v>161</v>
      </c>
      <c r="H17" s="9">
        <v>16</v>
      </c>
      <c r="I17" s="10" t="s">
        <v>162</v>
      </c>
      <c r="J17" s="10" t="s">
        <v>60</v>
      </c>
      <c r="K17" s="9">
        <v>0</v>
      </c>
      <c r="L17" s="10" t="s">
        <v>163</v>
      </c>
      <c r="M17" s="9">
        <v>2</v>
      </c>
      <c r="N17" s="9" t="s">
        <v>62</v>
      </c>
      <c r="O17" s="10" t="s">
        <v>164</v>
      </c>
      <c r="P17" s="10" t="s">
        <v>165</v>
      </c>
      <c r="Q17" s="9">
        <v>2</v>
      </c>
      <c r="R17" s="10"/>
      <c r="S17" s="10"/>
      <c r="T17" s="9"/>
      <c r="U17" s="9" t="s">
        <v>166</v>
      </c>
    </row>
    <row r="18" spans="1:21" ht="79.2" x14ac:dyDescent="0.3">
      <c r="A18" s="7" t="s">
        <v>167</v>
      </c>
      <c r="B18" s="8">
        <v>7</v>
      </c>
      <c r="C18" s="9" t="s">
        <v>54</v>
      </c>
      <c r="D18" s="9" t="s">
        <v>55</v>
      </c>
      <c r="E18" s="9" t="s">
        <v>56</v>
      </c>
      <c r="F18" s="9" t="s">
        <v>149</v>
      </c>
      <c r="G18" s="9" t="s">
        <v>168</v>
      </c>
      <c r="H18" s="9">
        <v>17</v>
      </c>
      <c r="I18" s="10" t="s">
        <v>169</v>
      </c>
      <c r="J18" s="10" t="s">
        <v>60</v>
      </c>
      <c r="K18" s="9">
        <v>0</v>
      </c>
      <c r="L18" s="10" t="s">
        <v>170</v>
      </c>
      <c r="M18" s="9">
        <v>3</v>
      </c>
      <c r="N18" s="9" t="s">
        <v>62</v>
      </c>
      <c r="O18" s="10" t="s">
        <v>171</v>
      </c>
      <c r="P18" s="10" t="s">
        <v>60</v>
      </c>
      <c r="Q18" s="9">
        <v>0</v>
      </c>
      <c r="R18" s="10" t="s">
        <v>172</v>
      </c>
      <c r="S18" s="10"/>
      <c r="T18" s="9"/>
      <c r="U18" s="9" t="s">
        <v>173</v>
      </c>
    </row>
    <row r="19" spans="1:21" ht="66" x14ac:dyDescent="0.3">
      <c r="A19" s="7" t="s">
        <v>174</v>
      </c>
      <c r="B19" s="8">
        <v>7</v>
      </c>
      <c r="C19" s="9" t="s">
        <v>54</v>
      </c>
      <c r="D19" s="9" t="s">
        <v>175</v>
      </c>
      <c r="E19" s="9" t="s">
        <v>176</v>
      </c>
      <c r="F19" s="9" t="s">
        <v>177</v>
      </c>
      <c r="G19" s="9" t="s">
        <v>178</v>
      </c>
      <c r="H19" s="9">
        <v>18</v>
      </c>
      <c r="I19" s="10" t="s">
        <v>179</v>
      </c>
      <c r="J19" s="10" t="s">
        <v>180</v>
      </c>
      <c r="K19" s="9">
        <v>1</v>
      </c>
      <c r="L19" s="10" t="s">
        <v>181</v>
      </c>
      <c r="M19" s="9">
        <v>3</v>
      </c>
      <c r="N19" s="9" t="s">
        <v>62</v>
      </c>
      <c r="O19" s="10" t="s">
        <v>182</v>
      </c>
      <c r="P19" s="10" t="s">
        <v>183</v>
      </c>
      <c r="Q19" s="9">
        <v>2</v>
      </c>
      <c r="R19" s="10"/>
      <c r="S19" s="10"/>
      <c r="T19" s="9"/>
      <c r="U19" s="9" t="s">
        <v>184</v>
      </c>
    </row>
    <row r="20" spans="1:21" ht="66" x14ac:dyDescent="0.3">
      <c r="A20" s="7" t="s">
        <v>185</v>
      </c>
      <c r="B20" s="8">
        <v>7</v>
      </c>
      <c r="C20" s="9" t="s">
        <v>54</v>
      </c>
      <c r="D20" s="9" t="s">
        <v>175</v>
      </c>
      <c r="E20" s="9" t="s">
        <v>176</v>
      </c>
      <c r="F20" s="9" t="s">
        <v>177</v>
      </c>
      <c r="G20" s="9" t="s">
        <v>186</v>
      </c>
      <c r="H20" s="9">
        <v>19</v>
      </c>
      <c r="I20" s="10" t="s">
        <v>187</v>
      </c>
      <c r="J20" s="10" t="s">
        <v>60</v>
      </c>
      <c r="K20" s="9">
        <v>0</v>
      </c>
      <c r="L20" s="10" t="s">
        <v>188</v>
      </c>
      <c r="M20" s="9">
        <v>3</v>
      </c>
      <c r="N20" s="9" t="s">
        <v>62</v>
      </c>
      <c r="O20" s="10" t="s">
        <v>189</v>
      </c>
      <c r="P20" s="10" t="s">
        <v>190</v>
      </c>
      <c r="Q20" s="9">
        <v>2</v>
      </c>
      <c r="R20" s="10"/>
      <c r="S20" s="10"/>
      <c r="T20" s="9"/>
      <c r="U20" s="9" t="s">
        <v>191</v>
      </c>
    </row>
    <row r="21" spans="1:21" ht="39.6" x14ac:dyDescent="0.3">
      <c r="A21" s="7" t="s">
        <v>192</v>
      </c>
      <c r="B21" s="8">
        <v>7</v>
      </c>
      <c r="C21" s="9" t="s">
        <v>54</v>
      </c>
      <c r="D21" s="9" t="s">
        <v>175</v>
      </c>
      <c r="E21" s="9" t="s">
        <v>176</v>
      </c>
      <c r="F21" s="9" t="s">
        <v>177</v>
      </c>
      <c r="G21" s="9" t="s">
        <v>193</v>
      </c>
      <c r="H21" s="9">
        <v>20</v>
      </c>
      <c r="I21" s="10" t="s">
        <v>194</v>
      </c>
      <c r="J21" s="10" t="s">
        <v>60</v>
      </c>
      <c r="K21" s="9">
        <v>0</v>
      </c>
      <c r="L21" s="10" t="s">
        <v>195</v>
      </c>
      <c r="M21" s="9">
        <v>1</v>
      </c>
      <c r="N21" s="9" t="s">
        <v>126</v>
      </c>
      <c r="O21" s="10" t="s">
        <v>196</v>
      </c>
      <c r="P21" s="10" t="s">
        <v>197</v>
      </c>
      <c r="Q21" s="9">
        <v>1</v>
      </c>
      <c r="R21" s="10"/>
      <c r="S21" s="10"/>
      <c r="T21" s="9"/>
      <c r="U21" s="9"/>
    </row>
    <row r="22" spans="1:21" ht="66" x14ac:dyDescent="0.3">
      <c r="A22" s="7" t="s">
        <v>198</v>
      </c>
      <c r="B22" s="8">
        <v>7</v>
      </c>
      <c r="C22" s="9" t="s">
        <v>54</v>
      </c>
      <c r="D22" s="9" t="s">
        <v>175</v>
      </c>
      <c r="E22" s="9" t="s">
        <v>176</v>
      </c>
      <c r="F22" s="9" t="s">
        <v>177</v>
      </c>
      <c r="G22" s="9" t="s">
        <v>199</v>
      </c>
      <c r="H22" s="9">
        <v>21</v>
      </c>
      <c r="I22" s="10" t="s">
        <v>200</v>
      </c>
      <c r="J22" s="10" t="s">
        <v>60</v>
      </c>
      <c r="K22" s="9">
        <v>0</v>
      </c>
      <c r="L22" s="10" t="s">
        <v>201</v>
      </c>
      <c r="M22" s="9">
        <v>2</v>
      </c>
      <c r="N22" s="9" t="s">
        <v>101</v>
      </c>
      <c r="O22" s="10" t="s">
        <v>202</v>
      </c>
      <c r="P22" s="10" t="s">
        <v>203</v>
      </c>
      <c r="Q22" s="9">
        <v>1</v>
      </c>
      <c r="R22" s="10"/>
      <c r="S22" s="10"/>
      <c r="T22" s="9"/>
      <c r="U22" s="9"/>
    </row>
    <row r="23" spans="1:21" ht="66" x14ac:dyDescent="0.3">
      <c r="A23" s="7" t="s">
        <v>204</v>
      </c>
      <c r="B23" s="8">
        <v>7</v>
      </c>
      <c r="C23" s="9" t="s">
        <v>54</v>
      </c>
      <c r="D23" s="9" t="s">
        <v>175</v>
      </c>
      <c r="E23" s="9" t="s">
        <v>176</v>
      </c>
      <c r="F23" s="9" t="s">
        <v>177</v>
      </c>
      <c r="G23" s="9" t="s">
        <v>205</v>
      </c>
      <c r="H23" s="9">
        <v>22</v>
      </c>
      <c r="I23" s="10" t="s">
        <v>206</v>
      </c>
      <c r="J23" s="10" t="s">
        <v>60</v>
      </c>
      <c r="K23" s="9">
        <v>0</v>
      </c>
      <c r="L23" s="10" t="s">
        <v>207</v>
      </c>
      <c r="M23" s="9">
        <v>2</v>
      </c>
      <c r="N23" s="9" t="s">
        <v>126</v>
      </c>
      <c r="O23" s="10" t="s">
        <v>208</v>
      </c>
      <c r="P23" s="10" t="s">
        <v>60</v>
      </c>
      <c r="Q23" s="9">
        <v>0</v>
      </c>
      <c r="R23" s="10" t="s">
        <v>209</v>
      </c>
      <c r="S23" s="10"/>
      <c r="T23" s="9"/>
      <c r="U23" s="9"/>
    </row>
    <row r="24" spans="1:21" ht="66" x14ac:dyDescent="0.3">
      <c r="A24" s="7" t="s">
        <v>210</v>
      </c>
      <c r="B24" s="8">
        <v>7</v>
      </c>
      <c r="C24" s="9" t="s">
        <v>54</v>
      </c>
      <c r="D24" s="9" t="s">
        <v>175</v>
      </c>
      <c r="E24" s="9" t="s">
        <v>176</v>
      </c>
      <c r="F24" s="9" t="s">
        <v>211</v>
      </c>
      <c r="G24" s="9" t="s">
        <v>212</v>
      </c>
      <c r="H24" s="9">
        <v>23</v>
      </c>
      <c r="I24" s="10" t="s">
        <v>213</v>
      </c>
      <c r="J24" s="10" t="s">
        <v>214</v>
      </c>
      <c r="K24" s="9">
        <v>4</v>
      </c>
      <c r="L24" s="10" t="s">
        <v>215</v>
      </c>
      <c r="M24" s="9">
        <v>4</v>
      </c>
      <c r="N24" s="9" t="s">
        <v>62</v>
      </c>
      <c r="O24" s="10" t="s">
        <v>216</v>
      </c>
      <c r="P24" s="10" t="s">
        <v>217</v>
      </c>
      <c r="Q24" s="9">
        <v>2</v>
      </c>
      <c r="R24" s="10"/>
      <c r="S24" s="10"/>
      <c r="T24" s="9"/>
      <c r="U24" s="9"/>
    </row>
    <row r="25" spans="1:21" ht="52.8" x14ac:dyDescent="0.3">
      <c r="A25" s="7" t="s">
        <v>218</v>
      </c>
      <c r="B25" s="8">
        <v>7</v>
      </c>
      <c r="C25" s="9" t="s">
        <v>54</v>
      </c>
      <c r="D25" s="9" t="s">
        <v>175</v>
      </c>
      <c r="E25" s="9" t="s">
        <v>176</v>
      </c>
      <c r="F25" s="9" t="s">
        <v>211</v>
      </c>
      <c r="G25" s="9" t="s">
        <v>219</v>
      </c>
      <c r="H25" s="9">
        <v>24</v>
      </c>
      <c r="I25" s="10" t="s">
        <v>220</v>
      </c>
      <c r="J25" s="10" t="s">
        <v>60</v>
      </c>
      <c r="K25" s="9">
        <v>0</v>
      </c>
      <c r="L25" s="10" t="s">
        <v>221</v>
      </c>
      <c r="M25" s="9">
        <v>2</v>
      </c>
      <c r="N25" s="9" t="s">
        <v>87</v>
      </c>
      <c r="O25" s="10" t="s">
        <v>222</v>
      </c>
      <c r="P25" s="10" t="s">
        <v>223</v>
      </c>
      <c r="Q25" s="9">
        <v>1</v>
      </c>
      <c r="R25" s="10"/>
      <c r="S25" s="10"/>
      <c r="T25" s="9"/>
      <c r="U25" s="9"/>
    </row>
    <row r="26" spans="1:21" ht="66" x14ac:dyDescent="0.3">
      <c r="A26" s="7" t="s">
        <v>224</v>
      </c>
      <c r="B26" s="8">
        <v>7</v>
      </c>
      <c r="C26" s="9" t="s">
        <v>54</v>
      </c>
      <c r="D26" s="9" t="s">
        <v>175</v>
      </c>
      <c r="E26" s="9" t="s">
        <v>176</v>
      </c>
      <c r="F26" s="9" t="s">
        <v>211</v>
      </c>
      <c r="G26" s="9" t="s">
        <v>225</v>
      </c>
      <c r="H26" s="9">
        <v>25</v>
      </c>
      <c r="I26" s="10" t="s">
        <v>226</v>
      </c>
      <c r="J26" s="10" t="s">
        <v>60</v>
      </c>
      <c r="K26" s="9">
        <v>0</v>
      </c>
      <c r="L26" s="10" t="s">
        <v>227</v>
      </c>
      <c r="M26" s="9">
        <v>3</v>
      </c>
      <c r="N26" s="9" t="s">
        <v>62</v>
      </c>
      <c r="O26" s="10" t="s">
        <v>228</v>
      </c>
      <c r="P26" s="10" t="s">
        <v>229</v>
      </c>
      <c r="Q26" s="9">
        <v>1</v>
      </c>
      <c r="R26" s="10"/>
      <c r="S26" s="10"/>
      <c r="T26" s="9"/>
      <c r="U26" s="9"/>
    </row>
    <row r="27" spans="1:21" ht="66" x14ac:dyDescent="0.3">
      <c r="A27" s="7" t="s">
        <v>230</v>
      </c>
      <c r="B27" s="8">
        <v>7</v>
      </c>
      <c r="C27" s="9" t="s">
        <v>54</v>
      </c>
      <c r="D27" s="9" t="s">
        <v>175</v>
      </c>
      <c r="E27" s="9" t="s">
        <v>176</v>
      </c>
      <c r="F27" s="9" t="s">
        <v>211</v>
      </c>
      <c r="G27" s="9" t="s">
        <v>231</v>
      </c>
      <c r="H27" s="9">
        <v>26</v>
      </c>
      <c r="I27" s="10" t="s">
        <v>232</v>
      </c>
      <c r="J27" s="10" t="s">
        <v>233</v>
      </c>
      <c r="K27" s="9">
        <v>2</v>
      </c>
      <c r="L27" s="10" t="s">
        <v>234</v>
      </c>
      <c r="M27" s="9">
        <v>3</v>
      </c>
      <c r="N27" s="9" t="s">
        <v>62</v>
      </c>
      <c r="O27" s="10" t="s">
        <v>235</v>
      </c>
      <c r="P27" s="10" t="s">
        <v>236</v>
      </c>
      <c r="Q27" s="9">
        <v>2</v>
      </c>
      <c r="R27" s="10"/>
      <c r="S27" s="10"/>
      <c r="T27" s="9"/>
      <c r="U27" s="9"/>
    </row>
    <row r="28" spans="1:21" ht="66" x14ac:dyDescent="0.3">
      <c r="A28" s="7" t="s">
        <v>237</v>
      </c>
      <c r="B28" s="8">
        <v>7</v>
      </c>
      <c r="C28" s="9" t="s">
        <v>238</v>
      </c>
      <c r="D28" s="9" t="s">
        <v>239</v>
      </c>
      <c r="E28" s="9" t="s">
        <v>176</v>
      </c>
      <c r="F28" s="9" t="s">
        <v>240</v>
      </c>
      <c r="G28" s="9" t="s">
        <v>241</v>
      </c>
      <c r="H28" s="9">
        <v>27</v>
      </c>
      <c r="I28" s="10" t="s">
        <v>242</v>
      </c>
      <c r="J28" s="10" t="s">
        <v>243</v>
      </c>
      <c r="K28" s="9">
        <v>3</v>
      </c>
      <c r="L28" s="10" t="s">
        <v>244</v>
      </c>
      <c r="M28" s="9">
        <v>3</v>
      </c>
      <c r="N28" s="9" t="s">
        <v>62</v>
      </c>
      <c r="O28" s="10" t="s">
        <v>245</v>
      </c>
      <c r="P28" s="10" t="s">
        <v>246</v>
      </c>
      <c r="Q28" s="9">
        <v>1</v>
      </c>
      <c r="R28" s="10"/>
      <c r="S28" s="10"/>
      <c r="T28" s="9"/>
      <c r="U28" s="9"/>
    </row>
    <row r="29" spans="1:21" ht="26.4" x14ac:dyDescent="0.3">
      <c r="A29" s="7" t="s">
        <v>247</v>
      </c>
      <c r="B29" s="8">
        <v>7</v>
      </c>
      <c r="C29" s="9" t="s">
        <v>238</v>
      </c>
      <c r="D29" s="9" t="s">
        <v>239</v>
      </c>
      <c r="E29" s="9" t="s">
        <v>176</v>
      </c>
      <c r="F29" s="9" t="s">
        <v>240</v>
      </c>
      <c r="G29" s="9" t="s">
        <v>248</v>
      </c>
      <c r="H29" s="9">
        <v>28</v>
      </c>
      <c r="I29" s="10" t="s">
        <v>249</v>
      </c>
      <c r="J29" s="10" t="s">
        <v>60</v>
      </c>
      <c r="K29" s="9">
        <v>0</v>
      </c>
      <c r="L29" s="10" t="s">
        <v>60</v>
      </c>
      <c r="M29" s="9">
        <v>0</v>
      </c>
      <c r="N29" s="9" t="s">
        <v>76</v>
      </c>
      <c r="O29" s="10" t="s">
        <v>250</v>
      </c>
      <c r="P29" s="10" t="s">
        <v>60</v>
      </c>
      <c r="Q29" s="9">
        <v>0</v>
      </c>
      <c r="R29" s="10"/>
      <c r="S29" s="10"/>
      <c r="T29" s="9"/>
      <c r="U29" s="9"/>
    </row>
    <row r="30" spans="1:21" ht="39.6" x14ac:dyDescent="0.3">
      <c r="A30" s="7" t="s">
        <v>251</v>
      </c>
      <c r="B30" s="8">
        <v>7</v>
      </c>
      <c r="C30" s="9" t="s">
        <v>238</v>
      </c>
      <c r="D30" s="9" t="s">
        <v>239</v>
      </c>
      <c r="E30" s="9" t="s">
        <v>176</v>
      </c>
      <c r="F30" s="9" t="s">
        <v>240</v>
      </c>
      <c r="G30" s="9" t="s">
        <v>252</v>
      </c>
      <c r="H30" s="9">
        <v>29</v>
      </c>
      <c r="I30" s="10" t="s">
        <v>253</v>
      </c>
      <c r="J30" s="10" t="s">
        <v>60</v>
      </c>
      <c r="K30" s="9">
        <v>0</v>
      </c>
      <c r="L30" s="10" t="s">
        <v>60</v>
      </c>
      <c r="M30" s="9">
        <v>0</v>
      </c>
      <c r="N30" s="9" t="s">
        <v>87</v>
      </c>
      <c r="O30" s="10" t="s">
        <v>87</v>
      </c>
      <c r="P30" s="10" t="s">
        <v>60</v>
      </c>
      <c r="Q30" s="9">
        <v>0</v>
      </c>
      <c r="R30" s="10"/>
      <c r="S30" s="10"/>
      <c r="T30" s="9"/>
      <c r="U30" s="9"/>
    </row>
    <row r="31" spans="1:21" ht="39.6" x14ac:dyDescent="0.3">
      <c r="A31" s="7" t="s">
        <v>254</v>
      </c>
      <c r="B31" s="8">
        <v>7</v>
      </c>
      <c r="C31" s="9" t="s">
        <v>238</v>
      </c>
      <c r="D31" s="9" t="s">
        <v>239</v>
      </c>
      <c r="E31" s="9" t="s">
        <v>176</v>
      </c>
      <c r="F31" s="9" t="s">
        <v>240</v>
      </c>
      <c r="G31" s="9" t="s">
        <v>255</v>
      </c>
      <c r="H31" s="9">
        <v>30</v>
      </c>
      <c r="I31" s="10" t="s">
        <v>256</v>
      </c>
      <c r="J31" s="10" t="s">
        <v>60</v>
      </c>
      <c r="K31" s="9">
        <v>0</v>
      </c>
      <c r="L31" s="10" t="s">
        <v>257</v>
      </c>
      <c r="M31" s="9">
        <v>2</v>
      </c>
      <c r="N31" s="9" t="s">
        <v>62</v>
      </c>
      <c r="O31" s="10" t="s">
        <v>258</v>
      </c>
      <c r="P31" s="10" t="s">
        <v>60</v>
      </c>
      <c r="Q31" s="9">
        <v>0</v>
      </c>
      <c r="R31" s="10"/>
      <c r="S31" s="10"/>
      <c r="T31" s="9"/>
      <c r="U31" s="9"/>
    </row>
    <row r="32" spans="1:21" ht="39.6" x14ac:dyDescent="0.3">
      <c r="A32" s="7" t="s">
        <v>259</v>
      </c>
      <c r="B32" s="8">
        <v>7</v>
      </c>
      <c r="C32" s="9" t="s">
        <v>238</v>
      </c>
      <c r="D32" s="9" t="s">
        <v>239</v>
      </c>
      <c r="E32" s="9" t="s">
        <v>176</v>
      </c>
      <c r="F32" s="9" t="s">
        <v>240</v>
      </c>
      <c r="G32" s="9" t="s">
        <v>260</v>
      </c>
      <c r="H32" s="9">
        <v>31</v>
      </c>
      <c r="I32" s="10" t="s">
        <v>261</v>
      </c>
      <c r="J32" s="10" t="s">
        <v>262</v>
      </c>
      <c r="K32" s="9">
        <v>3</v>
      </c>
      <c r="L32" s="10" t="s">
        <v>263</v>
      </c>
      <c r="M32" s="9">
        <v>3</v>
      </c>
      <c r="N32" s="9" t="s">
        <v>62</v>
      </c>
      <c r="O32" s="10" t="s">
        <v>264</v>
      </c>
      <c r="P32" s="10" t="s">
        <v>265</v>
      </c>
      <c r="Q32" s="9">
        <v>1</v>
      </c>
      <c r="R32" s="10"/>
      <c r="S32" s="10"/>
      <c r="T32" s="9"/>
      <c r="U32" s="9"/>
    </row>
    <row r="33" spans="1:21" ht="39.6" x14ac:dyDescent="0.3">
      <c r="A33" s="7" t="s">
        <v>266</v>
      </c>
      <c r="B33" s="8">
        <v>7</v>
      </c>
      <c r="C33" s="9" t="s">
        <v>238</v>
      </c>
      <c r="D33" s="9" t="s">
        <v>239</v>
      </c>
      <c r="E33" s="9" t="s">
        <v>176</v>
      </c>
      <c r="F33" s="9" t="s">
        <v>240</v>
      </c>
      <c r="G33" s="9" t="s">
        <v>267</v>
      </c>
      <c r="H33" s="9">
        <v>32</v>
      </c>
      <c r="I33" s="10" t="s">
        <v>268</v>
      </c>
      <c r="J33" s="10" t="s">
        <v>269</v>
      </c>
      <c r="K33" s="9">
        <v>2</v>
      </c>
      <c r="L33" s="10" t="s">
        <v>270</v>
      </c>
      <c r="M33" s="9">
        <v>1</v>
      </c>
      <c r="N33" s="9" t="s">
        <v>62</v>
      </c>
      <c r="O33" s="10" t="s">
        <v>271</v>
      </c>
      <c r="P33" s="10" t="s">
        <v>272</v>
      </c>
      <c r="Q33" s="9">
        <v>1</v>
      </c>
      <c r="R33" s="10"/>
      <c r="S33" s="10"/>
      <c r="T33" s="9"/>
      <c r="U33" s="9"/>
    </row>
    <row r="34" spans="1:21" ht="52.8" x14ac:dyDescent="0.3">
      <c r="A34" s="7" t="s">
        <v>273</v>
      </c>
      <c r="B34" s="8">
        <v>7</v>
      </c>
      <c r="C34" s="9" t="s">
        <v>238</v>
      </c>
      <c r="D34" s="9" t="s">
        <v>239</v>
      </c>
      <c r="E34" s="9" t="s">
        <v>176</v>
      </c>
      <c r="F34" s="9" t="s">
        <v>240</v>
      </c>
      <c r="G34" s="9" t="s">
        <v>274</v>
      </c>
      <c r="H34" s="9">
        <v>33</v>
      </c>
      <c r="I34" s="10" t="s">
        <v>275</v>
      </c>
      <c r="J34" s="10" t="s">
        <v>276</v>
      </c>
      <c r="K34" s="9">
        <v>2</v>
      </c>
      <c r="L34" s="10" t="s">
        <v>277</v>
      </c>
      <c r="M34" s="9">
        <v>3</v>
      </c>
      <c r="N34" s="9" t="s">
        <v>62</v>
      </c>
      <c r="O34" s="10" t="s">
        <v>278</v>
      </c>
      <c r="P34" s="10" t="s">
        <v>279</v>
      </c>
      <c r="Q34" s="9">
        <v>1</v>
      </c>
      <c r="R34" s="10"/>
      <c r="S34" s="10"/>
      <c r="T34" s="9"/>
      <c r="U34" s="9"/>
    </row>
    <row r="35" spans="1:21" ht="66" x14ac:dyDescent="0.3">
      <c r="A35" s="7" t="s">
        <v>280</v>
      </c>
      <c r="B35" s="8">
        <v>7</v>
      </c>
      <c r="C35" s="9" t="s">
        <v>238</v>
      </c>
      <c r="D35" s="9" t="s">
        <v>239</v>
      </c>
      <c r="E35" s="9" t="s">
        <v>176</v>
      </c>
      <c r="F35" s="9" t="s">
        <v>281</v>
      </c>
      <c r="G35" s="9" t="s">
        <v>282</v>
      </c>
      <c r="H35" s="9">
        <v>34</v>
      </c>
      <c r="I35" s="10" t="s">
        <v>283</v>
      </c>
      <c r="J35" s="10" t="s">
        <v>284</v>
      </c>
      <c r="K35" s="9">
        <v>1</v>
      </c>
      <c r="L35" s="10" t="s">
        <v>285</v>
      </c>
      <c r="M35" s="9">
        <v>4</v>
      </c>
      <c r="N35" s="9" t="s">
        <v>76</v>
      </c>
      <c r="O35" s="10" t="s">
        <v>286</v>
      </c>
      <c r="P35" s="10" t="s">
        <v>60</v>
      </c>
      <c r="Q35" s="9">
        <v>0</v>
      </c>
      <c r="R35" s="10"/>
      <c r="S35" s="10"/>
      <c r="T35" s="9"/>
      <c r="U35" s="9"/>
    </row>
    <row r="36" spans="1:21" ht="79.2" x14ac:dyDescent="0.3">
      <c r="A36" s="7" t="s">
        <v>287</v>
      </c>
      <c r="B36" s="8">
        <v>7</v>
      </c>
      <c r="C36" s="9" t="s">
        <v>238</v>
      </c>
      <c r="D36" s="9" t="s">
        <v>239</v>
      </c>
      <c r="E36" s="9" t="s">
        <v>176</v>
      </c>
      <c r="F36" s="9" t="s">
        <v>281</v>
      </c>
      <c r="G36" s="9" t="s">
        <v>288</v>
      </c>
      <c r="H36" s="9">
        <v>35</v>
      </c>
      <c r="I36" s="10" t="s">
        <v>289</v>
      </c>
      <c r="J36" s="10" t="s">
        <v>290</v>
      </c>
      <c r="K36" s="9">
        <v>1</v>
      </c>
      <c r="L36" s="10" t="s">
        <v>291</v>
      </c>
      <c r="M36" s="9">
        <v>2</v>
      </c>
      <c r="N36" s="9" t="s">
        <v>126</v>
      </c>
      <c r="O36" s="10" t="s">
        <v>292</v>
      </c>
      <c r="P36" s="10" t="s">
        <v>293</v>
      </c>
      <c r="Q36" s="9">
        <v>1</v>
      </c>
      <c r="R36" s="10"/>
      <c r="S36" s="10"/>
      <c r="T36" s="9"/>
      <c r="U36" s="9"/>
    </row>
    <row r="37" spans="1:21" ht="92.4" x14ac:dyDescent="0.3">
      <c r="A37" s="7" t="s">
        <v>294</v>
      </c>
      <c r="B37" s="8">
        <v>7</v>
      </c>
      <c r="C37" s="9" t="s">
        <v>238</v>
      </c>
      <c r="D37" s="9" t="s">
        <v>239</v>
      </c>
      <c r="E37" s="9" t="s">
        <v>176</v>
      </c>
      <c r="F37" s="9" t="s">
        <v>281</v>
      </c>
      <c r="G37" s="9" t="s">
        <v>295</v>
      </c>
      <c r="H37" s="9">
        <v>36</v>
      </c>
      <c r="I37" s="10" t="s">
        <v>296</v>
      </c>
      <c r="J37" s="10" t="s">
        <v>297</v>
      </c>
      <c r="K37" s="9">
        <v>3</v>
      </c>
      <c r="L37" s="10" t="s">
        <v>298</v>
      </c>
      <c r="M37" s="9">
        <v>4</v>
      </c>
      <c r="N37" s="9" t="s">
        <v>62</v>
      </c>
      <c r="O37" s="10" t="s">
        <v>299</v>
      </c>
      <c r="P37" s="10" t="s">
        <v>300</v>
      </c>
      <c r="Q37" s="9">
        <v>2</v>
      </c>
      <c r="R37" s="10"/>
      <c r="S37" s="10"/>
      <c r="T37" s="9"/>
      <c r="U37" s="9" t="s">
        <v>301</v>
      </c>
    </row>
    <row r="38" spans="1:21" ht="52.8" x14ac:dyDescent="0.3">
      <c r="A38" s="7" t="s">
        <v>302</v>
      </c>
      <c r="B38" s="8">
        <v>7</v>
      </c>
      <c r="C38" s="9" t="s">
        <v>238</v>
      </c>
      <c r="D38" s="9" t="s">
        <v>239</v>
      </c>
      <c r="E38" s="9" t="s">
        <v>176</v>
      </c>
      <c r="F38" s="9" t="s">
        <v>281</v>
      </c>
      <c r="G38" s="9" t="s">
        <v>303</v>
      </c>
      <c r="H38" s="9">
        <v>37</v>
      </c>
      <c r="I38" s="10" t="s">
        <v>304</v>
      </c>
      <c r="J38" s="10" t="s">
        <v>305</v>
      </c>
      <c r="K38" s="9">
        <v>3</v>
      </c>
      <c r="L38" s="10" t="s">
        <v>306</v>
      </c>
      <c r="M38" s="9">
        <v>3</v>
      </c>
      <c r="N38" s="9" t="s">
        <v>62</v>
      </c>
      <c r="O38" s="10" t="s">
        <v>307</v>
      </c>
      <c r="P38" s="10" t="s">
        <v>60</v>
      </c>
      <c r="Q38" s="9">
        <v>0</v>
      </c>
      <c r="R38" s="10"/>
      <c r="S38" s="10"/>
      <c r="T38" s="9"/>
      <c r="U38" s="9" t="s">
        <v>308</v>
      </c>
    </row>
    <row r="39" spans="1:21" ht="52.8" x14ac:dyDescent="0.3">
      <c r="A39" s="7" t="s">
        <v>309</v>
      </c>
      <c r="B39" s="8">
        <v>7</v>
      </c>
      <c r="C39" s="9" t="s">
        <v>238</v>
      </c>
      <c r="D39" s="9" t="s">
        <v>239</v>
      </c>
      <c r="E39" s="9" t="s">
        <v>176</v>
      </c>
      <c r="F39" s="9" t="s">
        <v>281</v>
      </c>
      <c r="G39" s="9" t="s">
        <v>310</v>
      </c>
      <c r="H39" s="9">
        <v>38</v>
      </c>
      <c r="I39" s="10" t="s">
        <v>311</v>
      </c>
      <c r="J39" s="10" t="s">
        <v>312</v>
      </c>
      <c r="K39" s="9">
        <v>4</v>
      </c>
      <c r="L39" s="10" t="s">
        <v>313</v>
      </c>
      <c r="M39" s="9">
        <v>4</v>
      </c>
      <c r="N39" s="9" t="s">
        <v>62</v>
      </c>
      <c r="O39" s="10" t="s">
        <v>314</v>
      </c>
      <c r="P39" s="10" t="s">
        <v>315</v>
      </c>
      <c r="Q39" s="9">
        <v>2</v>
      </c>
      <c r="R39" s="10"/>
      <c r="S39" s="10"/>
      <c r="T39" s="9"/>
      <c r="U39" s="9" t="s">
        <v>316</v>
      </c>
    </row>
    <row r="40" spans="1:21" ht="52.8" x14ac:dyDescent="0.3">
      <c r="A40" s="7" t="s">
        <v>317</v>
      </c>
      <c r="B40" s="8">
        <v>7</v>
      </c>
      <c r="C40" s="9" t="s">
        <v>238</v>
      </c>
      <c r="D40" s="9" t="s">
        <v>318</v>
      </c>
      <c r="E40" s="9" t="s">
        <v>319</v>
      </c>
      <c r="F40" s="9" t="s">
        <v>320</v>
      </c>
      <c r="G40" s="9" t="s">
        <v>321</v>
      </c>
      <c r="H40" s="9">
        <v>39</v>
      </c>
      <c r="I40" s="10" t="s">
        <v>322</v>
      </c>
      <c r="J40" s="10" t="s">
        <v>323</v>
      </c>
      <c r="K40" s="9">
        <v>2</v>
      </c>
      <c r="L40" s="10" t="s">
        <v>324</v>
      </c>
      <c r="M40" s="9">
        <v>2</v>
      </c>
      <c r="N40" s="9" t="s">
        <v>62</v>
      </c>
      <c r="O40" s="10" t="s">
        <v>325</v>
      </c>
      <c r="P40" s="10" t="s">
        <v>326</v>
      </c>
      <c r="Q40" s="9">
        <v>2</v>
      </c>
      <c r="R40" s="10"/>
      <c r="S40" s="10"/>
      <c r="T40" s="9"/>
      <c r="U40" s="9"/>
    </row>
    <row r="41" spans="1:21" ht="66" x14ac:dyDescent="0.3">
      <c r="A41" s="7" t="s">
        <v>327</v>
      </c>
      <c r="B41" s="8">
        <v>7</v>
      </c>
      <c r="C41" s="9" t="s">
        <v>238</v>
      </c>
      <c r="D41" s="9" t="s">
        <v>318</v>
      </c>
      <c r="E41" s="9" t="s">
        <v>319</v>
      </c>
      <c r="F41" s="9" t="s">
        <v>320</v>
      </c>
      <c r="G41" s="9" t="s">
        <v>328</v>
      </c>
      <c r="H41" s="9">
        <v>40</v>
      </c>
      <c r="I41" s="10" t="s">
        <v>329</v>
      </c>
      <c r="J41" s="10" t="s">
        <v>330</v>
      </c>
      <c r="K41" s="9">
        <v>4</v>
      </c>
      <c r="L41" s="10" t="s">
        <v>331</v>
      </c>
      <c r="M41" s="9">
        <v>4</v>
      </c>
      <c r="N41" s="9" t="s">
        <v>62</v>
      </c>
      <c r="O41" s="10" t="s">
        <v>332</v>
      </c>
      <c r="P41" s="10" t="s">
        <v>333</v>
      </c>
      <c r="Q41" s="9">
        <v>3</v>
      </c>
      <c r="R41" s="10"/>
      <c r="S41" s="10"/>
      <c r="T41" s="9"/>
      <c r="U41" s="9" t="s">
        <v>334</v>
      </c>
    </row>
    <row r="42" spans="1:21" ht="52.8" x14ac:dyDescent="0.3">
      <c r="A42" s="7" t="s">
        <v>335</v>
      </c>
      <c r="B42" s="8">
        <v>7</v>
      </c>
      <c r="C42" s="9" t="s">
        <v>238</v>
      </c>
      <c r="D42" s="9" t="s">
        <v>318</v>
      </c>
      <c r="E42" s="9" t="s">
        <v>319</v>
      </c>
      <c r="F42" s="9" t="s">
        <v>320</v>
      </c>
      <c r="G42" s="9" t="s">
        <v>336</v>
      </c>
      <c r="H42" s="9">
        <v>41</v>
      </c>
      <c r="I42" s="10" t="s">
        <v>337</v>
      </c>
      <c r="J42" s="10" t="s">
        <v>60</v>
      </c>
      <c r="K42" s="9">
        <v>0</v>
      </c>
      <c r="L42" s="10" t="s">
        <v>338</v>
      </c>
      <c r="M42" s="9">
        <v>2</v>
      </c>
      <c r="N42" s="9" t="s">
        <v>62</v>
      </c>
      <c r="O42" s="10" t="s">
        <v>339</v>
      </c>
      <c r="P42" s="10" t="s">
        <v>60</v>
      </c>
      <c r="Q42" s="9">
        <v>0</v>
      </c>
      <c r="R42" s="10" t="s">
        <v>340</v>
      </c>
      <c r="S42" s="10"/>
      <c r="T42" s="9"/>
      <c r="U42" s="9"/>
    </row>
    <row r="43" spans="1:21" ht="66" x14ac:dyDescent="0.3">
      <c r="A43" s="7" t="s">
        <v>341</v>
      </c>
      <c r="B43" s="8">
        <v>7</v>
      </c>
      <c r="C43" s="9" t="s">
        <v>238</v>
      </c>
      <c r="D43" s="9" t="s">
        <v>318</v>
      </c>
      <c r="E43" s="9" t="s">
        <v>319</v>
      </c>
      <c r="F43" s="9" t="s">
        <v>342</v>
      </c>
      <c r="G43" s="9" t="s">
        <v>343</v>
      </c>
      <c r="H43" s="9">
        <v>42</v>
      </c>
      <c r="I43" s="10" t="s">
        <v>344</v>
      </c>
      <c r="J43" s="10" t="s">
        <v>345</v>
      </c>
      <c r="K43" s="9">
        <v>4</v>
      </c>
      <c r="L43" s="10" t="s">
        <v>346</v>
      </c>
      <c r="M43" s="9">
        <v>5</v>
      </c>
      <c r="N43" s="9" t="s">
        <v>62</v>
      </c>
      <c r="O43" s="10" t="s">
        <v>347</v>
      </c>
      <c r="P43" s="10" t="s">
        <v>348</v>
      </c>
      <c r="Q43" s="9">
        <v>2</v>
      </c>
      <c r="R43" s="10"/>
      <c r="S43" s="10" t="s">
        <v>349</v>
      </c>
      <c r="T43" s="9"/>
      <c r="U43" s="9" t="s">
        <v>350</v>
      </c>
    </row>
    <row r="44" spans="1:21" ht="66" x14ac:dyDescent="0.3">
      <c r="A44" s="7" t="s">
        <v>351</v>
      </c>
      <c r="B44" s="8">
        <v>7</v>
      </c>
      <c r="C44" s="9" t="s">
        <v>238</v>
      </c>
      <c r="D44" s="9" t="s">
        <v>318</v>
      </c>
      <c r="E44" s="9" t="s">
        <v>319</v>
      </c>
      <c r="F44" s="9" t="s">
        <v>342</v>
      </c>
      <c r="G44" s="9" t="s">
        <v>352</v>
      </c>
      <c r="H44" s="9">
        <v>43</v>
      </c>
      <c r="I44" s="10" t="s">
        <v>353</v>
      </c>
      <c r="J44" s="10" t="s">
        <v>354</v>
      </c>
      <c r="K44" s="9">
        <v>5</v>
      </c>
      <c r="L44" s="10" t="s">
        <v>355</v>
      </c>
      <c r="M44" s="9">
        <v>4</v>
      </c>
      <c r="N44" s="9" t="s">
        <v>62</v>
      </c>
      <c r="O44" s="10" t="s">
        <v>356</v>
      </c>
      <c r="P44" s="10" t="s">
        <v>357</v>
      </c>
      <c r="Q44" s="9">
        <v>2</v>
      </c>
      <c r="R44" s="10" t="s">
        <v>358</v>
      </c>
      <c r="S44" s="10"/>
      <c r="T44" s="9"/>
      <c r="U44" s="9" t="s">
        <v>359</v>
      </c>
    </row>
    <row r="45" spans="1:21" ht="79.2" x14ac:dyDescent="0.3">
      <c r="A45" s="7" t="s">
        <v>360</v>
      </c>
      <c r="B45" s="8">
        <v>7</v>
      </c>
      <c r="C45" s="9" t="s">
        <v>238</v>
      </c>
      <c r="D45" s="9" t="s">
        <v>318</v>
      </c>
      <c r="E45" s="9" t="s">
        <v>319</v>
      </c>
      <c r="F45" s="9" t="s">
        <v>361</v>
      </c>
      <c r="G45" s="9" t="s">
        <v>362</v>
      </c>
      <c r="H45" s="9">
        <v>44</v>
      </c>
      <c r="I45" s="10" t="s">
        <v>363</v>
      </c>
      <c r="J45" s="10" t="s">
        <v>364</v>
      </c>
      <c r="K45" s="9">
        <v>2</v>
      </c>
      <c r="L45" s="10" t="s">
        <v>365</v>
      </c>
      <c r="M45" s="9">
        <v>3</v>
      </c>
      <c r="N45" s="9" t="s">
        <v>62</v>
      </c>
      <c r="O45" s="10" t="s">
        <v>366</v>
      </c>
      <c r="P45" s="10" t="s">
        <v>367</v>
      </c>
      <c r="Q45" s="9">
        <v>1</v>
      </c>
      <c r="R45" s="10"/>
      <c r="S45" s="10"/>
      <c r="T45" s="9"/>
      <c r="U45" s="9" t="s">
        <v>368</v>
      </c>
    </row>
    <row r="46" spans="1:21" ht="52.8" x14ac:dyDescent="0.3">
      <c r="A46" s="7" t="s">
        <v>369</v>
      </c>
      <c r="B46" s="8">
        <v>7</v>
      </c>
      <c r="C46" s="9" t="s">
        <v>238</v>
      </c>
      <c r="D46" s="9" t="s">
        <v>318</v>
      </c>
      <c r="E46" s="9" t="s">
        <v>319</v>
      </c>
      <c r="F46" s="9" t="s">
        <v>361</v>
      </c>
      <c r="G46" s="9" t="s">
        <v>370</v>
      </c>
      <c r="H46" s="9">
        <v>45</v>
      </c>
      <c r="I46" s="10" t="s">
        <v>371</v>
      </c>
      <c r="J46" s="10" t="s">
        <v>372</v>
      </c>
      <c r="K46" s="9">
        <v>2</v>
      </c>
      <c r="L46" s="10" t="s">
        <v>373</v>
      </c>
      <c r="M46" s="9">
        <v>3</v>
      </c>
      <c r="N46" s="9" t="s">
        <v>62</v>
      </c>
      <c r="O46" s="10" t="s">
        <v>374</v>
      </c>
      <c r="P46" s="10" t="s">
        <v>60</v>
      </c>
      <c r="Q46" s="9">
        <v>0</v>
      </c>
      <c r="R46" s="10"/>
      <c r="S46" s="10"/>
      <c r="T46" s="9"/>
      <c r="U46" s="9"/>
    </row>
    <row r="47" spans="1:21" ht="52.8" x14ac:dyDescent="0.3">
      <c r="A47" s="7" t="s">
        <v>375</v>
      </c>
      <c r="B47" s="8">
        <v>7</v>
      </c>
      <c r="C47" s="9" t="s">
        <v>238</v>
      </c>
      <c r="D47" s="9" t="s">
        <v>318</v>
      </c>
      <c r="E47" s="9" t="s">
        <v>319</v>
      </c>
      <c r="F47" s="9" t="s">
        <v>361</v>
      </c>
      <c r="G47" s="9" t="s">
        <v>376</v>
      </c>
      <c r="H47" s="9">
        <v>46</v>
      </c>
      <c r="I47" s="10" t="s">
        <v>377</v>
      </c>
      <c r="J47" s="10" t="s">
        <v>60</v>
      </c>
      <c r="K47" s="9">
        <v>0</v>
      </c>
      <c r="L47" s="10" t="s">
        <v>378</v>
      </c>
      <c r="M47" s="9">
        <v>2</v>
      </c>
      <c r="N47" s="9" t="s">
        <v>126</v>
      </c>
      <c r="O47" s="10" t="s">
        <v>379</v>
      </c>
      <c r="P47" s="10" t="s">
        <v>60</v>
      </c>
      <c r="Q47" s="9">
        <v>0</v>
      </c>
      <c r="R47" s="10"/>
      <c r="S47" s="10"/>
      <c r="T47" s="9"/>
      <c r="U47" s="9"/>
    </row>
    <row r="48" spans="1:21" ht="66" x14ac:dyDescent="0.3">
      <c r="A48" s="11" t="s">
        <v>380</v>
      </c>
      <c r="B48" s="12">
        <v>8</v>
      </c>
      <c r="C48" s="9" t="s">
        <v>54</v>
      </c>
      <c r="D48" s="9" t="s">
        <v>381</v>
      </c>
      <c r="E48" s="9" t="s">
        <v>382</v>
      </c>
      <c r="F48" s="9" t="s">
        <v>383</v>
      </c>
      <c r="G48" s="9" t="s">
        <v>384</v>
      </c>
      <c r="H48" s="9">
        <v>47</v>
      </c>
      <c r="I48" s="10" t="s">
        <v>385</v>
      </c>
      <c r="J48" s="10" t="s">
        <v>386</v>
      </c>
      <c r="K48" s="9">
        <v>4</v>
      </c>
      <c r="L48" s="10" t="s">
        <v>387</v>
      </c>
      <c r="M48" s="9">
        <v>4</v>
      </c>
      <c r="N48" s="9" t="s">
        <v>62</v>
      </c>
      <c r="O48" s="10" t="s">
        <v>388</v>
      </c>
      <c r="P48" s="10" t="s">
        <v>389</v>
      </c>
      <c r="Q48" s="9">
        <v>2</v>
      </c>
      <c r="R48" s="10"/>
      <c r="S48" s="10"/>
      <c r="T48" s="9"/>
      <c r="U48" s="9"/>
    </row>
    <row r="49" spans="1:21" ht="52.8" x14ac:dyDescent="0.3">
      <c r="A49" s="11" t="s">
        <v>390</v>
      </c>
      <c r="B49" s="12">
        <v>8</v>
      </c>
      <c r="C49" s="9" t="s">
        <v>54</v>
      </c>
      <c r="D49" s="9" t="s">
        <v>381</v>
      </c>
      <c r="E49" s="9" t="s">
        <v>382</v>
      </c>
      <c r="F49" s="9" t="s">
        <v>383</v>
      </c>
      <c r="G49" s="9" t="s">
        <v>391</v>
      </c>
      <c r="H49" s="9">
        <v>48</v>
      </c>
      <c r="I49" s="10" t="s">
        <v>392</v>
      </c>
      <c r="J49" s="10" t="s">
        <v>393</v>
      </c>
      <c r="K49" s="9">
        <v>2</v>
      </c>
      <c r="L49" s="10" t="s">
        <v>394</v>
      </c>
      <c r="M49" s="9">
        <v>3</v>
      </c>
      <c r="N49" s="9" t="s">
        <v>62</v>
      </c>
      <c r="O49" s="10" t="s">
        <v>395</v>
      </c>
      <c r="P49" s="10" t="s">
        <v>396</v>
      </c>
      <c r="Q49" s="9">
        <v>1</v>
      </c>
      <c r="R49" s="10"/>
      <c r="S49" s="10"/>
      <c r="T49" s="9"/>
      <c r="U49" s="9"/>
    </row>
    <row r="50" spans="1:21" ht="52.8" x14ac:dyDescent="0.3">
      <c r="A50" s="11" t="s">
        <v>397</v>
      </c>
      <c r="B50" s="12">
        <v>8</v>
      </c>
      <c r="C50" s="9" t="s">
        <v>54</v>
      </c>
      <c r="D50" s="9" t="s">
        <v>381</v>
      </c>
      <c r="E50" s="9" t="s">
        <v>382</v>
      </c>
      <c r="F50" s="9" t="s">
        <v>383</v>
      </c>
      <c r="G50" s="9" t="s">
        <v>398</v>
      </c>
      <c r="H50" s="9">
        <v>49</v>
      </c>
      <c r="I50" s="10" t="s">
        <v>399</v>
      </c>
      <c r="J50" s="10" t="s">
        <v>400</v>
      </c>
      <c r="K50" s="9">
        <v>3</v>
      </c>
      <c r="L50" s="10" t="s">
        <v>401</v>
      </c>
      <c r="M50" s="9">
        <v>4</v>
      </c>
      <c r="N50" s="9" t="s">
        <v>62</v>
      </c>
      <c r="O50" s="10" t="s">
        <v>402</v>
      </c>
      <c r="P50" s="10" t="s">
        <v>403</v>
      </c>
      <c r="Q50" s="9">
        <v>2</v>
      </c>
      <c r="R50" s="10"/>
      <c r="S50" s="10"/>
      <c r="T50" s="9"/>
      <c r="U50" s="9" t="s">
        <v>404</v>
      </c>
    </row>
    <row r="51" spans="1:21" ht="52.8" x14ac:dyDescent="0.3">
      <c r="A51" s="11" t="s">
        <v>405</v>
      </c>
      <c r="B51" s="12">
        <v>8</v>
      </c>
      <c r="C51" s="9" t="s">
        <v>54</v>
      </c>
      <c r="D51" s="9" t="s">
        <v>381</v>
      </c>
      <c r="E51" s="9" t="s">
        <v>382</v>
      </c>
      <c r="F51" s="9" t="s">
        <v>406</v>
      </c>
      <c r="G51" s="9" t="s">
        <v>407</v>
      </c>
      <c r="H51" s="9">
        <v>50</v>
      </c>
      <c r="I51" s="10" t="s">
        <v>408</v>
      </c>
      <c r="J51" s="10" t="s">
        <v>409</v>
      </c>
      <c r="K51" s="9">
        <v>1</v>
      </c>
      <c r="L51" s="10" t="s">
        <v>410</v>
      </c>
      <c r="M51" s="9">
        <v>4</v>
      </c>
      <c r="N51" s="9" t="s">
        <v>62</v>
      </c>
      <c r="O51" s="10" t="s">
        <v>411</v>
      </c>
      <c r="P51" s="10" t="s">
        <v>412</v>
      </c>
      <c r="Q51" s="9">
        <v>2</v>
      </c>
      <c r="R51" s="10"/>
      <c r="S51" s="10"/>
      <c r="T51" s="9"/>
      <c r="U51" s="9" t="s">
        <v>413</v>
      </c>
    </row>
    <row r="52" spans="1:21" ht="66" x14ac:dyDescent="0.3">
      <c r="A52" s="11" t="s">
        <v>414</v>
      </c>
      <c r="B52" s="12">
        <v>8</v>
      </c>
      <c r="C52" s="9" t="s">
        <v>54</v>
      </c>
      <c r="D52" s="9" t="s">
        <v>381</v>
      </c>
      <c r="E52" s="9" t="s">
        <v>382</v>
      </c>
      <c r="F52" s="9" t="s">
        <v>406</v>
      </c>
      <c r="G52" s="9" t="s">
        <v>415</v>
      </c>
      <c r="H52" s="9">
        <v>51</v>
      </c>
      <c r="I52" s="10" t="s">
        <v>416</v>
      </c>
      <c r="J52" s="10" t="s">
        <v>417</v>
      </c>
      <c r="K52" s="9">
        <v>4</v>
      </c>
      <c r="L52" s="10" t="s">
        <v>418</v>
      </c>
      <c r="M52" s="9">
        <v>5</v>
      </c>
      <c r="N52" s="9" t="s">
        <v>62</v>
      </c>
      <c r="O52" s="10" t="s">
        <v>419</v>
      </c>
      <c r="P52" s="10" t="s">
        <v>420</v>
      </c>
      <c r="Q52" s="9">
        <v>3</v>
      </c>
      <c r="R52" s="10"/>
      <c r="S52" s="10"/>
      <c r="T52" s="9" t="s">
        <v>405</v>
      </c>
      <c r="U52" s="9" t="s">
        <v>421</v>
      </c>
    </row>
    <row r="53" spans="1:21" ht="52.8" x14ac:dyDescent="0.3">
      <c r="A53" s="11" t="s">
        <v>422</v>
      </c>
      <c r="B53" s="12">
        <v>8</v>
      </c>
      <c r="C53" s="9" t="s">
        <v>54</v>
      </c>
      <c r="D53" s="9" t="s">
        <v>381</v>
      </c>
      <c r="E53" s="9" t="s">
        <v>382</v>
      </c>
      <c r="F53" s="9" t="s">
        <v>406</v>
      </c>
      <c r="G53" s="9" t="s">
        <v>423</v>
      </c>
      <c r="H53" s="9">
        <v>52</v>
      </c>
      <c r="I53" s="10" t="s">
        <v>424</v>
      </c>
      <c r="J53" s="10" t="s">
        <v>425</v>
      </c>
      <c r="K53" s="9">
        <v>4</v>
      </c>
      <c r="L53" s="10" t="s">
        <v>426</v>
      </c>
      <c r="M53" s="9">
        <v>4</v>
      </c>
      <c r="N53" s="9" t="s">
        <v>62</v>
      </c>
      <c r="O53" s="10" t="s">
        <v>427</v>
      </c>
      <c r="P53" s="10" t="s">
        <v>428</v>
      </c>
      <c r="Q53" s="9">
        <v>3</v>
      </c>
      <c r="R53" s="10"/>
      <c r="S53" s="10"/>
      <c r="T53" s="9"/>
      <c r="U53" s="9" t="s">
        <v>429</v>
      </c>
    </row>
    <row r="54" spans="1:21" ht="79.2" x14ac:dyDescent="0.3">
      <c r="A54" s="11" t="s">
        <v>430</v>
      </c>
      <c r="B54" s="12">
        <v>8</v>
      </c>
      <c r="C54" s="9" t="s">
        <v>54</v>
      </c>
      <c r="D54" s="9" t="s">
        <v>381</v>
      </c>
      <c r="E54" s="9" t="s">
        <v>382</v>
      </c>
      <c r="F54" s="9" t="s">
        <v>431</v>
      </c>
      <c r="G54" s="9" t="s">
        <v>432</v>
      </c>
      <c r="H54" s="9">
        <v>53</v>
      </c>
      <c r="I54" s="10" t="s">
        <v>433</v>
      </c>
      <c r="J54" s="10" t="s">
        <v>434</v>
      </c>
      <c r="K54" s="9">
        <v>6</v>
      </c>
      <c r="L54" s="10" t="s">
        <v>435</v>
      </c>
      <c r="M54" s="9">
        <v>4</v>
      </c>
      <c r="N54" s="9" t="s">
        <v>62</v>
      </c>
      <c r="O54" s="10" t="s">
        <v>436</v>
      </c>
      <c r="P54" s="10" t="s">
        <v>437</v>
      </c>
      <c r="Q54" s="9">
        <v>3</v>
      </c>
      <c r="R54" s="10"/>
      <c r="S54" s="10"/>
      <c r="T54" s="9"/>
      <c r="U54" s="9"/>
    </row>
    <row r="55" spans="1:21" ht="52.8" x14ac:dyDescent="0.3">
      <c r="A55" s="11" t="s">
        <v>438</v>
      </c>
      <c r="B55" s="12">
        <v>8</v>
      </c>
      <c r="C55" s="9" t="s">
        <v>54</v>
      </c>
      <c r="D55" s="9" t="s">
        <v>381</v>
      </c>
      <c r="E55" s="9" t="s">
        <v>382</v>
      </c>
      <c r="F55" s="9" t="s">
        <v>431</v>
      </c>
      <c r="G55" s="9" t="s">
        <v>439</v>
      </c>
      <c r="H55" s="9">
        <v>54</v>
      </c>
      <c r="I55" s="10" t="s">
        <v>440</v>
      </c>
      <c r="J55" s="10" t="s">
        <v>60</v>
      </c>
      <c r="K55" s="9">
        <v>0</v>
      </c>
      <c r="L55" s="10" t="s">
        <v>441</v>
      </c>
      <c r="M55" s="9">
        <v>2</v>
      </c>
      <c r="N55" s="9" t="s">
        <v>126</v>
      </c>
      <c r="O55" s="10" t="s">
        <v>442</v>
      </c>
      <c r="P55" s="10" t="s">
        <v>60</v>
      </c>
      <c r="Q55" s="9">
        <v>0</v>
      </c>
      <c r="R55" s="10"/>
      <c r="S55" s="10"/>
      <c r="T55" s="9"/>
      <c r="U55" s="9"/>
    </row>
    <row r="56" spans="1:21" ht="39.6" x14ac:dyDescent="0.3">
      <c r="A56" s="11" t="s">
        <v>443</v>
      </c>
      <c r="B56" s="12">
        <v>8</v>
      </c>
      <c r="C56" s="9" t="s">
        <v>54</v>
      </c>
      <c r="D56" s="9" t="s">
        <v>381</v>
      </c>
      <c r="E56" s="9" t="s">
        <v>382</v>
      </c>
      <c r="F56" s="9" t="s">
        <v>431</v>
      </c>
      <c r="G56" s="9" t="s">
        <v>444</v>
      </c>
      <c r="H56" s="9">
        <v>55</v>
      </c>
      <c r="I56" s="10" t="s">
        <v>445</v>
      </c>
      <c r="J56" s="10" t="s">
        <v>60</v>
      </c>
      <c r="K56" s="9">
        <v>0</v>
      </c>
      <c r="L56" s="10" t="s">
        <v>60</v>
      </c>
      <c r="M56" s="9">
        <v>0</v>
      </c>
      <c r="N56" s="9" t="s">
        <v>126</v>
      </c>
      <c r="O56" s="10" t="s">
        <v>446</v>
      </c>
      <c r="P56" s="10" t="s">
        <v>60</v>
      </c>
      <c r="Q56" s="9">
        <v>0</v>
      </c>
      <c r="R56" s="10"/>
      <c r="S56" s="10"/>
      <c r="T56" s="9"/>
      <c r="U56" s="9"/>
    </row>
    <row r="57" spans="1:21" ht="79.2" x14ac:dyDescent="0.3">
      <c r="A57" s="11" t="s">
        <v>447</v>
      </c>
      <c r="B57" s="12">
        <v>8</v>
      </c>
      <c r="C57" s="9" t="s">
        <v>54</v>
      </c>
      <c r="D57" s="9" t="s">
        <v>381</v>
      </c>
      <c r="E57" s="9" t="s">
        <v>382</v>
      </c>
      <c r="F57" s="9" t="s">
        <v>431</v>
      </c>
      <c r="G57" s="9" t="s">
        <v>448</v>
      </c>
      <c r="H57" s="9">
        <v>56</v>
      </c>
      <c r="I57" s="10" t="s">
        <v>449</v>
      </c>
      <c r="J57" s="10" t="s">
        <v>450</v>
      </c>
      <c r="K57" s="9">
        <v>6</v>
      </c>
      <c r="L57" s="10" t="s">
        <v>451</v>
      </c>
      <c r="M57" s="9">
        <v>4</v>
      </c>
      <c r="N57" s="9" t="s">
        <v>62</v>
      </c>
      <c r="O57" s="10" t="s">
        <v>452</v>
      </c>
      <c r="P57" s="10" t="s">
        <v>453</v>
      </c>
      <c r="Q57" s="9">
        <v>3</v>
      </c>
      <c r="R57" s="10" t="s">
        <v>454</v>
      </c>
      <c r="S57" s="10"/>
      <c r="T57" s="9"/>
      <c r="U57" s="9"/>
    </row>
    <row r="58" spans="1:21" ht="66" x14ac:dyDescent="0.3">
      <c r="A58" s="11" t="s">
        <v>455</v>
      </c>
      <c r="B58" s="12">
        <v>8</v>
      </c>
      <c r="C58" s="9" t="s">
        <v>54</v>
      </c>
      <c r="D58" s="9" t="s">
        <v>381</v>
      </c>
      <c r="E58" s="9" t="s">
        <v>382</v>
      </c>
      <c r="F58" s="9" t="s">
        <v>456</v>
      </c>
      <c r="G58" s="9" t="s">
        <v>457</v>
      </c>
      <c r="H58" s="9">
        <v>57</v>
      </c>
      <c r="I58" s="10" t="s">
        <v>458</v>
      </c>
      <c r="J58" s="10" t="s">
        <v>60</v>
      </c>
      <c r="K58" s="9">
        <v>0</v>
      </c>
      <c r="L58" s="10" t="s">
        <v>60</v>
      </c>
      <c r="M58" s="9">
        <v>0</v>
      </c>
      <c r="N58" s="9" t="s">
        <v>76</v>
      </c>
      <c r="O58" s="10" t="s">
        <v>459</v>
      </c>
      <c r="P58" s="10" t="s">
        <v>60</v>
      </c>
      <c r="Q58" s="9">
        <v>0</v>
      </c>
      <c r="R58" s="10"/>
      <c r="S58" s="10"/>
      <c r="T58" s="9"/>
      <c r="U58" s="9"/>
    </row>
    <row r="59" spans="1:21" ht="66" x14ac:dyDescent="0.3">
      <c r="A59" s="11" t="s">
        <v>460</v>
      </c>
      <c r="B59" s="12">
        <v>8</v>
      </c>
      <c r="C59" s="9" t="s">
        <v>54</v>
      </c>
      <c r="D59" s="9" t="s">
        <v>381</v>
      </c>
      <c r="E59" s="9" t="s">
        <v>382</v>
      </c>
      <c r="F59" s="9" t="s">
        <v>456</v>
      </c>
      <c r="G59" s="9" t="s">
        <v>461</v>
      </c>
      <c r="H59" s="9">
        <v>58</v>
      </c>
      <c r="I59" s="10" t="s">
        <v>462</v>
      </c>
      <c r="J59" s="10" t="s">
        <v>463</v>
      </c>
      <c r="K59" s="9">
        <v>2</v>
      </c>
      <c r="L59" s="10" t="s">
        <v>464</v>
      </c>
      <c r="M59" s="9">
        <v>4</v>
      </c>
      <c r="N59" s="9" t="s">
        <v>76</v>
      </c>
      <c r="O59" s="10" t="s">
        <v>465</v>
      </c>
      <c r="P59" s="10" t="s">
        <v>60</v>
      </c>
      <c r="Q59" s="9">
        <v>0</v>
      </c>
      <c r="R59" s="10"/>
      <c r="S59" s="10"/>
      <c r="T59" s="9"/>
      <c r="U59" s="9"/>
    </row>
    <row r="60" spans="1:21" ht="79.2" x14ac:dyDescent="0.3">
      <c r="A60" s="11" t="s">
        <v>466</v>
      </c>
      <c r="B60" s="12">
        <v>8</v>
      </c>
      <c r="C60" s="9" t="s">
        <v>54</v>
      </c>
      <c r="D60" s="9" t="s">
        <v>381</v>
      </c>
      <c r="E60" s="9" t="s">
        <v>382</v>
      </c>
      <c r="F60" s="9" t="s">
        <v>456</v>
      </c>
      <c r="G60" s="9" t="s">
        <v>467</v>
      </c>
      <c r="H60" s="9">
        <v>59</v>
      </c>
      <c r="I60" s="10" t="s">
        <v>468</v>
      </c>
      <c r="J60" s="10" t="s">
        <v>469</v>
      </c>
      <c r="K60" s="9">
        <v>4</v>
      </c>
      <c r="L60" s="10" t="s">
        <v>470</v>
      </c>
      <c r="M60" s="9">
        <v>5</v>
      </c>
      <c r="N60" s="9" t="s">
        <v>62</v>
      </c>
      <c r="O60" s="10" t="s">
        <v>471</v>
      </c>
      <c r="P60" s="10" t="s">
        <v>472</v>
      </c>
      <c r="Q60" s="9">
        <v>2</v>
      </c>
      <c r="R60" s="10" t="s">
        <v>473</v>
      </c>
      <c r="S60" s="10"/>
      <c r="T60" s="9"/>
      <c r="U60" s="9" t="s">
        <v>474</v>
      </c>
    </row>
    <row r="61" spans="1:21" ht="66" x14ac:dyDescent="0.3">
      <c r="A61" s="11" t="s">
        <v>475</v>
      </c>
      <c r="B61" s="12">
        <v>8</v>
      </c>
      <c r="C61" s="9" t="s">
        <v>54</v>
      </c>
      <c r="D61" s="9" t="s">
        <v>381</v>
      </c>
      <c r="E61" s="9" t="s">
        <v>382</v>
      </c>
      <c r="F61" s="9" t="s">
        <v>476</v>
      </c>
      <c r="G61" s="9" t="s">
        <v>477</v>
      </c>
      <c r="H61" s="9">
        <v>60</v>
      </c>
      <c r="I61" s="10" t="s">
        <v>478</v>
      </c>
      <c r="J61" s="10" t="s">
        <v>479</v>
      </c>
      <c r="K61" s="9">
        <v>3</v>
      </c>
      <c r="L61" s="10" t="s">
        <v>480</v>
      </c>
      <c r="M61" s="9">
        <v>4</v>
      </c>
      <c r="N61" s="9" t="s">
        <v>62</v>
      </c>
      <c r="O61" s="10" t="s">
        <v>481</v>
      </c>
      <c r="P61" s="10" t="s">
        <v>482</v>
      </c>
      <c r="Q61" s="9">
        <v>2</v>
      </c>
      <c r="R61" s="10"/>
      <c r="S61" s="10"/>
      <c r="T61" s="9"/>
      <c r="U61" s="9"/>
    </row>
    <row r="62" spans="1:21" ht="39.6" x14ac:dyDescent="0.3">
      <c r="A62" s="11" t="s">
        <v>483</v>
      </c>
      <c r="B62" s="12">
        <v>8</v>
      </c>
      <c r="C62" s="9" t="s">
        <v>54</v>
      </c>
      <c r="D62" s="9" t="s">
        <v>381</v>
      </c>
      <c r="E62" s="9" t="s">
        <v>382</v>
      </c>
      <c r="F62" s="9" t="s">
        <v>476</v>
      </c>
      <c r="G62" s="9" t="s">
        <v>484</v>
      </c>
      <c r="H62" s="9">
        <v>61</v>
      </c>
      <c r="I62" s="10" t="s">
        <v>485</v>
      </c>
      <c r="J62" s="10" t="s">
        <v>486</v>
      </c>
      <c r="K62" s="9">
        <v>2</v>
      </c>
      <c r="L62" s="10" t="s">
        <v>487</v>
      </c>
      <c r="M62" s="9">
        <v>3</v>
      </c>
      <c r="N62" s="9" t="s">
        <v>126</v>
      </c>
      <c r="O62" s="10" t="s">
        <v>488</v>
      </c>
      <c r="P62" s="10" t="s">
        <v>60</v>
      </c>
      <c r="Q62" s="9">
        <v>0</v>
      </c>
      <c r="R62" s="10"/>
      <c r="S62" s="10"/>
      <c r="T62" s="9"/>
      <c r="U62" s="9"/>
    </row>
    <row r="63" spans="1:21" ht="66" x14ac:dyDescent="0.3">
      <c r="A63" s="11" t="s">
        <v>489</v>
      </c>
      <c r="B63" s="12">
        <v>8</v>
      </c>
      <c r="C63" s="9" t="s">
        <v>54</v>
      </c>
      <c r="D63" s="9" t="s">
        <v>381</v>
      </c>
      <c r="E63" s="9" t="s">
        <v>382</v>
      </c>
      <c r="F63" s="9" t="s">
        <v>490</v>
      </c>
      <c r="G63" s="9" t="s">
        <v>491</v>
      </c>
      <c r="H63" s="9">
        <v>62</v>
      </c>
      <c r="I63" s="10" t="s">
        <v>492</v>
      </c>
      <c r="J63" s="10" t="s">
        <v>60</v>
      </c>
      <c r="K63" s="9">
        <v>0</v>
      </c>
      <c r="L63" s="10" t="s">
        <v>493</v>
      </c>
      <c r="M63" s="9">
        <v>2</v>
      </c>
      <c r="N63" s="9" t="s">
        <v>62</v>
      </c>
      <c r="O63" s="10" t="s">
        <v>494</v>
      </c>
      <c r="P63" s="10" t="s">
        <v>495</v>
      </c>
      <c r="Q63" s="9">
        <v>2</v>
      </c>
      <c r="R63" s="10"/>
      <c r="S63" s="10"/>
      <c r="T63" s="9"/>
      <c r="U63" s="9" t="s">
        <v>496</v>
      </c>
    </row>
    <row r="64" spans="1:21" ht="79.2" x14ac:dyDescent="0.3">
      <c r="A64" s="11" t="s">
        <v>497</v>
      </c>
      <c r="B64" s="12">
        <v>8</v>
      </c>
      <c r="C64" s="9" t="s">
        <v>54</v>
      </c>
      <c r="D64" s="9" t="s">
        <v>381</v>
      </c>
      <c r="E64" s="9" t="s">
        <v>382</v>
      </c>
      <c r="F64" s="9" t="s">
        <v>490</v>
      </c>
      <c r="G64" s="9" t="s">
        <v>498</v>
      </c>
      <c r="H64" s="9">
        <v>63</v>
      </c>
      <c r="I64" s="10" t="s">
        <v>499</v>
      </c>
      <c r="J64" s="10" t="s">
        <v>500</v>
      </c>
      <c r="K64" s="9">
        <v>4</v>
      </c>
      <c r="L64" s="10" t="s">
        <v>501</v>
      </c>
      <c r="M64" s="9">
        <v>5</v>
      </c>
      <c r="N64" s="9" t="s">
        <v>62</v>
      </c>
      <c r="O64" s="10" t="s">
        <v>502</v>
      </c>
      <c r="P64" s="10" t="s">
        <v>503</v>
      </c>
      <c r="Q64" s="9">
        <v>2</v>
      </c>
      <c r="R64" s="10"/>
      <c r="S64" s="10"/>
      <c r="T64" s="9"/>
      <c r="U64" s="9" t="s">
        <v>504</v>
      </c>
    </row>
    <row r="65" spans="1:21" ht="52.8" x14ac:dyDescent="0.3">
      <c r="A65" s="11" t="s">
        <v>505</v>
      </c>
      <c r="B65" s="12">
        <v>8</v>
      </c>
      <c r="C65" s="9" t="s">
        <v>54</v>
      </c>
      <c r="D65" s="9" t="s">
        <v>381</v>
      </c>
      <c r="E65" s="9" t="s">
        <v>382</v>
      </c>
      <c r="F65" s="9" t="s">
        <v>490</v>
      </c>
      <c r="G65" s="9" t="s">
        <v>506</v>
      </c>
      <c r="H65" s="9">
        <v>64</v>
      </c>
      <c r="I65" s="10" t="s">
        <v>507</v>
      </c>
      <c r="J65" s="10" t="s">
        <v>60</v>
      </c>
      <c r="K65" s="9">
        <v>0</v>
      </c>
      <c r="L65" s="10" t="s">
        <v>508</v>
      </c>
      <c r="M65" s="9">
        <v>3</v>
      </c>
      <c r="N65" s="9" t="s">
        <v>101</v>
      </c>
      <c r="O65" s="10" t="s">
        <v>509</v>
      </c>
      <c r="P65" s="10" t="s">
        <v>510</v>
      </c>
      <c r="Q65" s="9">
        <v>2</v>
      </c>
      <c r="R65" s="10" t="s">
        <v>511</v>
      </c>
      <c r="S65" s="10"/>
      <c r="T65" s="9"/>
      <c r="U65" s="9" t="s">
        <v>512</v>
      </c>
    </row>
    <row r="66" spans="1:21" ht="52.8" x14ac:dyDescent="0.3">
      <c r="A66" s="11" t="s">
        <v>513</v>
      </c>
      <c r="B66" s="12">
        <v>8</v>
      </c>
      <c r="C66" s="9" t="s">
        <v>54</v>
      </c>
      <c r="D66" s="9" t="s">
        <v>381</v>
      </c>
      <c r="E66" s="9" t="s">
        <v>382</v>
      </c>
      <c r="F66" s="9" t="s">
        <v>514</v>
      </c>
      <c r="G66" s="9" t="s">
        <v>515</v>
      </c>
      <c r="H66" s="9">
        <v>65</v>
      </c>
      <c r="I66" s="10" t="s">
        <v>516</v>
      </c>
      <c r="J66" s="10" t="s">
        <v>60</v>
      </c>
      <c r="K66" s="9">
        <v>0</v>
      </c>
      <c r="L66" s="10" t="s">
        <v>60</v>
      </c>
      <c r="M66" s="9">
        <v>0</v>
      </c>
      <c r="N66" s="9" t="s">
        <v>76</v>
      </c>
      <c r="O66" s="10" t="s">
        <v>517</v>
      </c>
      <c r="P66" s="10" t="s">
        <v>60</v>
      </c>
      <c r="Q66" s="9">
        <v>0</v>
      </c>
      <c r="R66" s="10"/>
      <c r="S66" s="10"/>
      <c r="T66" s="9"/>
      <c r="U66" s="9"/>
    </row>
    <row r="67" spans="1:21" ht="66" x14ac:dyDescent="0.3">
      <c r="A67" s="11" t="s">
        <v>518</v>
      </c>
      <c r="B67" s="12">
        <v>8</v>
      </c>
      <c r="C67" s="9" t="s">
        <v>54</v>
      </c>
      <c r="D67" s="9" t="s">
        <v>381</v>
      </c>
      <c r="E67" s="9" t="s">
        <v>382</v>
      </c>
      <c r="F67" s="9" t="s">
        <v>514</v>
      </c>
      <c r="G67" s="9" t="s">
        <v>519</v>
      </c>
      <c r="H67" s="9">
        <v>66</v>
      </c>
      <c r="I67" s="10" t="s">
        <v>520</v>
      </c>
      <c r="J67" s="10" t="s">
        <v>521</v>
      </c>
      <c r="K67" s="9">
        <v>3</v>
      </c>
      <c r="L67" s="10" t="s">
        <v>522</v>
      </c>
      <c r="M67" s="9">
        <v>4</v>
      </c>
      <c r="N67" s="9" t="s">
        <v>62</v>
      </c>
      <c r="O67" s="10" t="s">
        <v>523</v>
      </c>
      <c r="P67" s="10" t="s">
        <v>524</v>
      </c>
      <c r="Q67" s="9">
        <v>2</v>
      </c>
      <c r="R67" s="10"/>
      <c r="S67" s="10"/>
      <c r="T67" s="9"/>
      <c r="U67" s="9" t="s">
        <v>525</v>
      </c>
    </row>
    <row r="68" spans="1:21" ht="79.2" x14ac:dyDescent="0.3">
      <c r="A68" s="11" t="s">
        <v>526</v>
      </c>
      <c r="B68" s="12">
        <v>8</v>
      </c>
      <c r="C68" s="9" t="s">
        <v>54</v>
      </c>
      <c r="D68" s="9" t="s">
        <v>381</v>
      </c>
      <c r="E68" s="9" t="s">
        <v>382</v>
      </c>
      <c r="F68" s="9" t="s">
        <v>514</v>
      </c>
      <c r="G68" s="9" t="s">
        <v>527</v>
      </c>
      <c r="H68" s="9">
        <v>67</v>
      </c>
      <c r="I68" s="10" t="s">
        <v>528</v>
      </c>
      <c r="J68" s="10" t="s">
        <v>529</v>
      </c>
      <c r="K68" s="9">
        <v>5</v>
      </c>
      <c r="L68" s="10" t="s">
        <v>530</v>
      </c>
      <c r="M68" s="9">
        <v>5</v>
      </c>
      <c r="N68" s="9" t="s">
        <v>62</v>
      </c>
      <c r="O68" s="10" t="s">
        <v>531</v>
      </c>
      <c r="P68" s="10" t="s">
        <v>532</v>
      </c>
      <c r="Q68" s="9">
        <v>2</v>
      </c>
      <c r="R68" s="10"/>
      <c r="S68" s="10"/>
      <c r="T68" s="9"/>
      <c r="U68" s="9" t="s">
        <v>533</v>
      </c>
    </row>
    <row r="69" spans="1:21" ht="52.8" x14ac:dyDescent="0.3">
      <c r="A69" s="11" t="s">
        <v>534</v>
      </c>
      <c r="B69" s="12">
        <v>8</v>
      </c>
      <c r="C69" s="9" t="s">
        <v>54</v>
      </c>
      <c r="D69" s="9" t="s">
        <v>381</v>
      </c>
      <c r="E69" s="9" t="s">
        <v>382</v>
      </c>
      <c r="F69" s="9" t="s">
        <v>514</v>
      </c>
      <c r="G69" s="9" t="s">
        <v>535</v>
      </c>
      <c r="H69" s="9">
        <v>68</v>
      </c>
      <c r="I69" s="10" t="s">
        <v>536</v>
      </c>
      <c r="J69" s="10" t="s">
        <v>60</v>
      </c>
      <c r="K69" s="9">
        <v>0</v>
      </c>
      <c r="L69" s="10" t="s">
        <v>537</v>
      </c>
      <c r="M69" s="9">
        <v>2</v>
      </c>
      <c r="N69" s="9" t="s">
        <v>126</v>
      </c>
      <c r="O69" s="10" t="s">
        <v>538</v>
      </c>
      <c r="P69" s="10" t="s">
        <v>60</v>
      </c>
      <c r="Q69" s="9">
        <v>0</v>
      </c>
      <c r="R69" s="10"/>
      <c r="S69" s="10"/>
      <c r="T69" s="9"/>
      <c r="U69" s="9"/>
    </row>
    <row r="70" spans="1:21" ht="52.8" x14ac:dyDescent="0.3">
      <c r="A70" s="11" t="s">
        <v>539</v>
      </c>
      <c r="B70" s="12">
        <v>8</v>
      </c>
      <c r="C70" s="9" t="s">
        <v>54</v>
      </c>
      <c r="D70" s="9" t="s">
        <v>381</v>
      </c>
      <c r="E70" s="9" t="s">
        <v>382</v>
      </c>
      <c r="F70" s="9" t="s">
        <v>540</v>
      </c>
      <c r="G70" s="9" t="s">
        <v>541</v>
      </c>
      <c r="H70" s="9">
        <v>69</v>
      </c>
      <c r="I70" s="10" t="s">
        <v>542</v>
      </c>
      <c r="J70" s="10" t="s">
        <v>543</v>
      </c>
      <c r="K70" s="9">
        <v>4</v>
      </c>
      <c r="L70" s="10" t="s">
        <v>544</v>
      </c>
      <c r="M70" s="9">
        <v>4</v>
      </c>
      <c r="N70" s="9" t="s">
        <v>62</v>
      </c>
      <c r="O70" s="10" t="s">
        <v>545</v>
      </c>
      <c r="P70" s="10" t="s">
        <v>546</v>
      </c>
      <c r="Q70" s="9">
        <v>2</v>
      </c>
      <c r="R70" s="10"/>
      <c r="S70" s="10"/>
      <c r="T70" s="9"/>
      <c r="U70" s="9" t="s">
        <v>547</v>
      </c>
    </row>
    <row r="71" spans="1:21" ht="52.8" x14ac:dyDescent="0.3">
      <c r="A71" s="11" t="s">
        <v>548</v>
      </c>
      <c r="B71" s="12">
        <v>8</v>
      </c>
      <c r="C71" s="9" t="s">
        <v>54</v>
      </c>
      <c r="D71" s="9" t="s">
        <v>381</v>
      </c>
      <c r="E71" s="9" t="s">
        <v>382</v>
      </c>
      <c r="F71" s="9" t="s">
        <v>540</v>
      </c>
      <c r="G71" s="9" t="s">
        <v>549</v>
      </c>
      <c r="H71" s="9">
        <v>70</v>
      </c>
      <c r="I71" s="10" t="s">
        <v>550</v>
      </c>
      <c r="J71" s="10" t="s">
        <v>551</v>
      </c>
      <c r="K71" s="9">
        <v>3</v>
      </c>
      <c r="L71" s="10" t="s">
        <v>552</v>
      </c>
      <c r="M71" s="9">
        <v>3</v>
      </c>
      <c r="N71" s="9" t="s">
        <v>62</v>
      </c>
      <c r="O71" s="10" t="s">
        <v>553</v>
      </c>
      <c r="P71" s="10" t="s">
        <v>554</v>
      </c>
      <c r="Q71" s="9">
        <v>1</v>
      </c>
      <c r="R71" s="10"/>
      <c r="S71" s="10"/>
      <c r="T71" s="9"/>
      <c r="U71" s="9" t="s">
        <v>555</v>
      </c>
    </row>
    <row r="72" spans="1:21" ht="66" x14ac:dyDescent="0.3">
      <c r="A72" s="11" t="s">
        <v>556</v>
      </c>
      <c r="B72" s="12">
        <v>8</v>
      </c>
      <c r="C72" s="9" t="s">
        <v>54</v>
      </c>
      <c r="D72" s="9" t="s">
        <v>381</v>
      </c>
      <c r="E72" s="9" t="s">
        <v>382</v>
      </c>
      <c r="F72" s="9" t="s">
        <v>540</v>
      </c>
      <c r="G72" s="9" t="s">
        <v>557</v>
      </c>
      <c r="H72" s="9">
        <v>71</v>
      </c>
      <c r="I72" s="10" t="s">
        <v>558</v>
      </c>
      <c r="J72" s="10" t="s">
        <v>559</v>
      </c>
      <c r="K72" s="9">
        <v>3</v>
      </c>
      <c r="L72" s="10" t="s">
        <v>560</v>
      </c>
      <c r="M72" s="9">
        <v>5</v>
      </c>
      <c r="N72" s="9" t="s">
        <v>62</v>
      </c>
      <c r="O72" s="10" t="s">
        <v>561</v>
      </c>
      <c r="P72" s="10" t="s">
        <v>562</v>
      </c>
      <c r="Q72" s="9">
        <v>2</v>
      </c>
      <c r="R72" s="10" t="s">
        <v>563</v>
      </c>
      <c r="S72" s="10"/>
      <c r="T72" s="9"/>
      <c r="U72" s="9" t="s">
        <v>555</v>
      </c>
    </row>
    <row r="73" spans="1:21" ht="52.8" x14ac:dyDescent="0.3">
      <c r="A73" s="11" t="s">
        <v>564</v>
      </c>
      <c r="B73" s="12">
        <v>8</v>
      </c>
      <c r="C73" s="9" t="s">
        <v>238</v>
      </c>
      <c r="D73" s="9" t="s">
        <v>565</v>
      </c>
      <c r="E73" s="9" t="s">
        <v>566</v>
      </c>
      <c r="F73" s="9" t="s">
        <v>567</v>
      </c>
      <c r="G73" s="9" t="s">
        <v>568</v>
      </c>
      <c r="H73" s="9">
        <v>72</v>
      </c>
      <c r="I73" s="10" t="s">
        <v>569</v>
      </c>
      <c r="J73" s="10" t="s">
        <v>60</v>
      </c>
      <c r="K73" s="9">
        <v>0</v>
      </c>
      <c r="L73" s="10" t="s">
        <v>570</v>
      </c>
      <c r="M73" s="9">
        <v>4</v>
      </c>
      <c r="N73" s="9" t="s">
        <v>126</v>
      </c>
      <c r="O73" s="10" t="s">
        <v>538</v>
      </c>
      <c r="P73" s="10" t="s">
        <v>60</v>
      </c>
      <c r="Q73" s="9">
        <v>0</v>
      </c>
      <c r="R73" s="10"/>
      <c r="S73" s="10"/>
      <c r="T73" s="9" t="s">
        <v>327</v>
      </c>
      <c r="U73" s="9" t="s">
        <v>571</v>
      </c>
    </row>
    <row r="74" spans="1:21" ht="26.4" x14ac:dyDescent="0.3">
      <c r="A74" s="11" t="s">
        <v>572</v>
      </c>
      <c r="B74" s="12">
        <v>8</v>
      </c>
      <c r="C74" s="9" t="s">
        <v>238</v>
      </c>
      <c r="D74" s="9" t="s">
        <v>565</v>
      </c>
      <c r="E74" s="9" t="s">
        <v>566</v>
      </c>
      <c r="F74" s="9" t="s">
        <v>567</v>
      </c>
      <c r="G74" s="9" t="s">
        <v>343</v>
      </c>
      <c r="H74" s="9">
        <v>73</v>
      </c>
      <c r="I74" s="10" t="s">
        <v>573</v>
      </c>
      <c r="J74" s="10" t="s">
        <v>60</v>
      </c>
      <c r="K74" s="9">
        <v>0</v>
      </c>
      <c r="L74" s="10" t="s">
        <v>574</v>
      </c>
      <c r="M74" s="9">
        <v>2</v>
      </c>
      <c r="N74" s="9" t="s">
        <v>126</v>
      </c>
      <c r="O74" s="10" t="s">
        <v>538</v>
      </c>
      <c r="P74" s="10" t="s">
        <v>60</v>
      </c>
      <c r="Q74" s="9">
        <v>0</v>
      </c>
      <c r="R74" s="10"/>
      <c r="S74" s="10"/>
      <c r="T74" s="9" t="s">
        <v>341</v>
      </c>
      <c r="U74" s="9" t="s">
        <v>575</v>
      </c>
    </row>
    <row r="75" spans="1:21" ht="66" x14ac:dyDescent="0.3">
      <c r="A75" s="11" t="s">
        <v>576</v>
      </c>
      <c r="B75" s="12">
        <v>8</v>
      </c>
      <c r="C75" s="9" t="s">
        <v>238</v>
      </c>
      <c r="D75" s="9" t="s">
        <v>565</v>
      </c>
      <c r="E75" s="9" t="s">
        <v>566</v>
      </c>
      <c r="F75" s="9" t="s">
        <v>567</v>
      </c>
      <c r="G75" s="9" t="s">
        <v>577</v>
      </c>
      <c r="H75" s="9">
        <v>74</v>
      </c>
      <c r="I75" s="10" t="s">
        <v>578</v>
      </c>
      <c r="J75" s="10" t="s">
        <v>60</v>
      </c>
      <c r="K75" s="9">
        <v>0</v>
      </c>
      <c r="L75" s="10" t="s">
        <v>579</v>
      </c>
      <c r="M75" s="9">
        <v>4</v>
      </c>
      <c r="N75" s="9" t="s">
        <v>126</v>
      </c>
      <c r="O75" s="10" t="s">
        <v>538</v>
      </c>
      <c r="P75" s="10" t="s">
        <v>60</v>
      </c>
      <c r="Q75" s="9">
        <v>0</v>
      </c>
      <c r="R75" s="10"/>
      <c r="S75" s="10"/>
      <c r="T75" s="9" t="s">
        <v>351</v>
      </c>
      <c r="U75" s="9" t="s">
        <v>571</v>
      </c>
    </row>
    <row r="76" spans="1:21" ht="52.8" x14ac:dyDescent="0.3">
      <c r="A76" s="11" t="s">
        <v>580</v>
      </c>
      <c r="B76" s="12">
        <v>8</v>
      </c>
      <c r="C76" s="9" t="s">
        <v>238</v>
      </c>
      <c r="D76" s="9" t="s">
        <v>565</v>
      </c>
      <c r="E76" s="9" t="s">
        <v>566</v>
      </c>
      <c r="F76" s="9" t="s">
        <v>567</v>
      </c>
      <c r="G76" s="9" t="s">
        <v>581</v>
      </c>
      <c r="H76" s="9">
        <v>75</v>
      </c>
      <c r="I76" s="10" t="s">
        <v>582</v>
      </c>
      <c r="J76" s="10" t="s">
        <v>60</v>
      </c>
      <c r="K76" s="9">
        <v>0</v>
      </c>
      <c r="L76" s="10" t="s">
        <v>60</v>
      </c>
      <c r="M76" s="9">
        <v>0</v>
      </c>
      <c r="N76" s="9" t="s">
        <v>583</v>
      </c>
      <c r="O76" s="10" t="s">
        <v>584</v>
      </c>
      <c r="P76" s="10" t="s">
        <v>60</v>
      </c>
      <c r="Q76" s="9">
        <v>0</v>
      </c>
      <c r="R76" s="10"/>
      <c r="S76" s="10"/>
      <c r="T76" s="9" t="s">
        <v>585</v>
      </c>
      <c r="U76" s="9" t="s">
        <v>571</v>
      </c>
    </row>
    <row r="77" spans="1:21" ht="79.2" x14ac:dyDescent="0.3">
      <c r="A77" s="11" t="s">
        <v>586</v>
      </c>
      <c r="B77" s="12">
        <v>8</v>
      </c>
      <c r="C77" s="9" t="s">
        <v>238</v>
      </c>
      <c r="D77" s="9" t="s">
        <v>565</v>
      </c>
      <c r="E77" s="9" t="s">
        <v>566</v>
      </c>
      <c r="F77" s="9" t="s">
        <v>567</v>
      </c>
      <c r="G77" s="9" t="s">
        <v>587</v>
      </c>
      <c r="H77" s="9">
        <v>76</v>
      </c>
      <c r="I77" s="10" t="s">
        <v>588</v>
      </c>
      <c r="J77" s="10" t="s">
        <v>589</v>
      </c>
      <c r="K77" s="9">
        <v>2</v>
      </c>
      <c r="L77" s="10" t="s">
        <v>590</v>
      </c>
      <c r="M77" s="9">
        <v>4</v>
      </c>
      <c r="N77" s="9" t="s">
        <v>126</v>
      </c>
      <c r="O77" s="10" t="s">
        <v>538</v>
      </c>
      <c r="P77" s="10" t="s">
        <v>60</v>
      </c>
      <c r="Q77" s="9">
        <v>0</v>
      </c>
      <c r="R77" s="10"/>
      <c r="S77" s="10"/>
      <c r="T77" s="9"/>
      <c r="U77" s="9"/>
    </row>
    <row r="78" spans="1:21" ht="52.8" x14ac:dyDescent="0.3">
      <c r="A78" s="11" t="s">
        <v>159</v>
      </c>
      <c r="B78" s="12">
        <v>8</v>
      </c>
      <c r="C78" s="9" t="s">
        <v>238</v>
      </c>
      <c r="D78" s="9" t="s">
        <v>565</v>
      </c>
      <c r="E78" s="9" t="s">
        <v>566</v>
      </c>
      <c r="F78" s="9" t="s">
        <v>591</v>
      </c>
      <c r="G78" s="9" t="s">
        <v>592</v>
      </c>
      <c r="H78" s="9">
        <v>77</v>
      </c>
      <c r="I78" s="10" t="s">
        <v>593</v>
      </c>
      <c r="J78" s="10" t="s">
        <v>60</v>
      </c>
      <c r="K78" s="9">
        <v>0</v>
      </c>
      <c r="L78" s="10" t="s">
        <v>60</v>
      </c>
      <c r="M78" s="9">
        <v>0</v>
      </c>
      <c r="N78" s="9" t="s">
        <v>62</v>
      </c>
      <c r="O78" s="10" t="s">
        <v>594</v>
      </c>
      <c r="P78" s="10" t="s">
        <v>60</v>
      </c>
      <c r="Q78" s="9">
        <v>0</v>
      </c>
      <c r="R78" s="10"/>
      <c r="S78" s="10"/>
      <c r="T78" s="9" t="s">
        <v>153</v>
      </c>
      <c r="U78" s="9"/>
    </row>
    <row r="79" spans="1:21" ht="66" x14ac:dyDescent="0.3">
      <c r="A79" s="11" t="s">
        <v>166</v>
      </c>
      <c r="B79" s="12">
        <v>8</v>
      </c>
      <c r="C79" s="9" t="s">
        <v>238</v>
      </c>
      <c r="D79" s="9" t="s">
        <v>565</v>
      </c>
      <c r="E79" s="9" t="s">
        <v>566</v>
      </c>
      <c r="F79" s="9" t="s">
        <v>591</v>
      </c>
      <c r="G79" s="9" t="s">
        <v>595</v>
      </c>
      <c r="H79" s="9">
        <v>78</v>
      </c>
      <c r="I79" s="10" t="s">
        <v>596</v>
      </c>
      <c r="J79" s="10" t="s">
        <v>60</v>
      </c>
      <c r="K79" s="9">
        <v>0</v>
      </c>
      <c r="L79" s="10" t="s">
        <v>60</v>
      </c>
      <c r="M79" s="9">
        <v>0</v>
      </c>
      <c r="N79" s="9" t="s">
        <v>126</v>
      </c>
      <c r="O79" s="10" t="s">
        <v>538</v>
      </c>
      <c r="P79" s="10" t="s">
        <v>60</v>
      </c>
      <c r="Q79" s="9">
        <v>0</v>
      </c>
      <c r="R79" s="10"/>
      <c r="S79" s="10"/>
      <c r="T79" s="9" t="s">
        <v>160</v>
      </c>
      <c r="U79" s="9"/>
    </row>
    <row r="80" spans="1:21" ht="79.2" x14ac:dyDescent="0.3">
      <c r="A80" s="11" t="s">
        <v>597</v>
      </c>
      <c r="B80" s="12">
        <v>8</v>
      </c>
      <c r="C80" s="9" t="s">
        <v>238</v>
      </c>
      <c r="D80" s="9" t="s">
        <v>565</v>
      </c>
      <c r="E80" s="9" t="s">
        <v>566</v>
      </c>
      <c r="F80" s="9" t="s">
        <v>591</v>
      </c>
      <c r="G80" s="9" t="s">
        <v>598</v>
      </c>
      <c r="H80" s="9">
        <v>79</v>
      </c>
      <c r="I80" s="10" t="s">
        <v>599</v>
      </c>
      <c r="J80" s="10" t="s">
        <v>60</v>
      </c>
      <c r="K80" s="9">
        <v>0</v>
      </c>
      <c r="L80" s="10" t="s">
        <v>600</v>
      </c>
      <c r="M80" s="9">
        <v>2</v>
      </c>
      <c r="N80" s="9" t="s">
        <v>126</v>
      </c>
      <c r="O80" s="10" t="s">
        <v>601</v>
      </c>
      <c r="P80" s="10" t="s">
        <v>60</v>
      </c>
      <c r="Q80" s="9">
        <v>0</v>
      </c>
      <c r="R80" s="10" t="s">
        <v>602</v>
      </c>
      <c r="S80" s="10"/>
      <c r="T80" s="9"/>
      <c r="U80" s="9"/>
    </row>
    <row r="81" spans="1:21" ht="52.8" x14ac:dyDescent="0.3">
      <c r="A81" s="11" t="s">
        <v>173</v>
      </c>
      <c r="B81" s="12">
        <v>8</v>
      </c>
      <c r="C81" s="9" t="s">
        <v>238</v>
      </c>
      <c r="D81" s="9" t="s">
        <v>565</v>
      </c>
      <c r="E81" s="9" t="s">
        <v>566</v>
      </c>
      <c r="F81" s="9" t="s">
        <v>603</v>
      </c>
      <c r="G81" s="9" t="s">
        <v>604</v>
      </c>
      <c r="H81" s="9">
        <v>80</v>
      </c>
      <c r="I81" s="10" t="s">
        <v>605</v>
      </c>
      <c r="J81" s="10" t="s">
        <v>60</v>
      </c>
      <c r="K81" s="9">
        <v>0</v>
      </c>
      <c r="L81" s="10" t="s">
        <v>606</v>
      </c>
      <c r="M81" s="9">
        <v>2</v>
      </c>
      <c r="N81" s="9" t="s">
        <v>62</v>
      </c>
      <c r="O81" s="10" t="s">
        <v>607</v>
      </c>
      <c r="P81" s="10" t="s">
        <v>60</v>
      </c>
      <c r="Q81" s="9">
        <v>0</v>
      </c>
      <c r="R81" s="10"/>
      <c r="S81" s="10"/>
      <c r="T81" s="9" t="s">
        <v>167</v>
      </c>
      <c r="U81" s="9"/>
    </row>
    <row r="82" spans="1:21" ht="39.6" x14ac:dyDescent="0.3">
      <c r="A82" s="11" t="s">
        <v>608</v>
      </c>
      <c r="B82" s="12">
        <v>8</v>
      </c>
      <c r="C82" s="9" t="s">
        <v>238</v>
      </c>
      <c r="D82" s="9" t="s">
        <v>565</v>
      </c>
      <c r="E82" s="9" t="s">
        <v>566</v>
      </c>
      <c r="F82" s="9" t="s">
        <v>603</v>
      </c>
      <c r="G82" s="9" t="s">
        <v>609</v>
      </c>
      <c r="H82" s="9">
        <v>81</v>
      </c>
      <c r="I82" s="10" t="s">
        <v>610</v>
      </c>
      <c r="J82" s="10" t="s">
        <v>60</v>
      </c>
      <c r="K82" s="9">
        <v>0</v>
      </c>
      <c r="L82" s="10" t="s">
        <v>60</v>
      </c>
      <c r="M82" s="9">
        <v>0</v>
      </c>
      <c r="N82" s="9" t="s">
        <v>126</v>
      </c>
      <c r="O82" s="10" t="s">
        <v>611</v>
      </c>
      <c r="P82" s="10" t="s">
        <v>60</v>
      </c>
      <c r="Q82" s="9">
        <v>0</v>
      </c>
      <c r="R82" s="10"/>
      <c r="S82" s="10"/>
      <c r="T82" s="9"/>
      <c r="U82" s="9"/>
    </row>
    <row r="83" spans="1:21" ht="66" x14ac:dyDescent="0.3">
      <c r="A83" s="11" t="s">
        <v>612</v>
      </c>
      <c r="B83" s="12">
        <v>8</v>
      </c>
      <c r="C83" s="9" t="s">
        <v>238</v>
      </c>
      <c r="D83" s="9" t="s">
        <v>565</v>
      </c>
      <c r="E83" s="9" t="s">
        <v>566</v>
      </c>
      <c r="F83" s="9" t="s">
        <v>603</v>
      </c>
      <c r="G83" s="9" t="s">
        <v>613</v>
      </c>
      <c r="H83" s="9">
        <v>82</v>
      </c>
      <c r="I83" s="10" t="s">
        <v>614</v>
      </c>
      <c r="J83" s="10" t="s">
        <v>60</v>
      </c>
      <c r="K83" s="9">
        <v>0</v>
      </c>
      <c r="L83" s="10" t="s">
        <v>615</v>
      </c>
      <c r="M83" s="9">
        <v>2</v>
      </c>
      <c r="N83" s="9" t="s">
        <v>126</v>
      </c>
      <c r="O83" s="10" t="s">
        <v>538</v>
      </c>
      <c r="P83" s="10" t="s">
        <v>60</v>
      </c>
      <c r="Q83" s="9">
        <v>0</v>
      </c>
      <c r="R83" s="10" t="s">
        <v>616</v>
      </c>
      <c r="S83" s="10"/>
      <c r="T83" s="9"/>
      <c r="U83" s="9"/>
    </row>
    <row r="84" spans="1:21" ht="26.4" x14ac:dyDescent="0.3">
      <c r="A84" s="11" t="s">
        <v>617</v>
      </c>
      <c r="B84" s="12">
        <v>8</v>
      </c>
      <c r="C84" s="9" t="s">
        <v>238</v>
      </c>
      <c r="D84" s="9" t="s">
        <v>565</v>
      </c>
      <c r="E84" s="9" t="s">
        <v>566</v>
      </c>
      <c r="F84" s="9" t="s">
        <v>618</v>
      </c>
      <c r="G84" s="9" t="s">
        <v>619</v>
      </c>
      <c r="H84" s="9">
        <v>83</v>
      </c>
      <c r="I84" s="10" t="s">
        <v>620</v>
      </c>
      <c r="J84" s="10" t="s">
        <v>60</v>
      </c>
      <c r="K84" s="9">
        <v>0</v>
      </c>
      <c r="L84" s="10" t="s">
        <v>60</v>
      </c>
      <c r="M84" s="9">
        <v>0</v>
      </c>
      <c r="N84" s="9" t="s">
        <v>76</v>
      </c>
      <c r="O84" s="10" t="s">
        <v>621</v>
      </c>
      <c r="P84" s="10" t="s">
        <v>60</v>
      </c>
      <c r="Q84" s="9">
        <v>0</v>
      </c>
      <c r="R84" s="10"/>
      <c r="S84" s="10"/>
      <c r="T84" s="9"/>
      <c r="U84" s="9"/>
    </row>
    <row r="85" spans="1:21" ht="66" x14ac:dyDescent="0.3">
      <c r="A85" s="11" t="s">
        <v>622</v>
      </c>
      <c r="B85" s="12">
        <v>8</v>
      </c>
      <c r="C85" s="9" t="s">
        <v>238</v>
      </c>
      <c r="D85" s="9" t="s">
        <v>565</v>
      </c>
      <c r="E85" s="9" t="s">
        <v>566</v>
      </c>
      <c r="F85" s="9" t="s">
        <v>618</v>
      </c>
      <c r="G85" s="9" t="s">
        <v>623</v>
      </c>
      <c r="H85" s="9">
        <v>84</v>
      </c>
      <c r="I85" s="10" t="s">
        <v>624</v>
      </c>
      <c r="J85" s="10" t="s">
        <v>625</v>
      </c>
      <c r="K85" s="9">
        <v>3</v>
      </c>
      <c r="L85" s="10" t="s">
        <v>626</v>
      </c>
      <c r="M85" s="9">
        <v>4</v>
      </c>
      <c r="N85" s="9" t="s">
        <v>62</v>
      </c>
      <c r="O85" s="10" t="s">
        <v>607</v>
      </c>
      <c r="P85" s="10" t="s">
        <v>60</v>
      </c>
      <c r="Q85" s="9">
        <v>0</v>
      </c>
      <c r="R85" s="10"/>
      <c r="S85" s="10"/>
      <c r="T85" s="9" t="s">
        <v>302</v>
      </c>
      <c r="U85" s="9" t="s">
        <v>627</v>
      </c>
    </row>
    <row r="86" spans="1:21" ht="52.8" x14ac:dyDescent="0.3">
      <c r="A86" s="11" t="s">
        <v>628</v>
      </c>
      <c r="B86" s="12">
        <v>8</v>
      </c>
      <c r="C86" s="9" t="s">
        <v>238</v>
      </c>
      <c r="D86" s="9" t="s">
        <v>565</v>
      </c>
      <c r="E86" s="9" t="s">
        <v>566</v>
      </c>
      <c r="F86" s="9" t="s">
        <v>618</v>
      </c>
      <c r="G86" s="9" t="s">
        <v>629</v>
      </c>
      <c r="H86" s="9">
        <v>85</v>
      </c>
      <c r="I86" s="10" t="s">
        <v>630</v>
      </c>
      <c r="J86" s="10" t="s">
        <v>631</v>
      </c>
      <c r="K86" s="9">
        <v>3</v>
      </c>
      <c r="L86" s="10" t="s">
        <v>632</v>
      </c>
      <c r="M86" s="9">
        <v>4</v>
      </c>
      <c r="N86" s="9" t="s">
        <v>62</v>
      </c>
      <c r="O86" s="10" t="s">
        <v>607</v>
      </c>
      <c r="P86" s="10" t="s">
        <v>60</v>
      </c>
      <c r="Q86" s="9">
        <v>0</v>
      </c>
      <c r="R86" s="10"/>
      <c r="S86" s="10"/>
      <c r="T86" s="9" t="s">
        <v>309</v>
      </c>
      <c r="U86" s="9" t="s">
        <v>627</v>
      </c>
    </row>
    <row r="87" spans="1:21" ht="52.8" x14ac:dyDescent="0.3">
      <c r="A87" s="11" t="s">
        <v>633</v>
      </c>
      <c r="B87" s="12">
        <v>8</v>
      </c>
      <c r="C87" s="9" t="s">
        <v>238</v>
      </c>
      <c r="D87" s="9" t="s">
        <v>565</v>
      </c>
      <c r="E87" s="9" t="s">
        <v>566</v>
      </c>
      <c r="F87" s="9" t="s">
        <v>618</v>
      </c>
      <c r="G87" s="9" t="s">
        <v>634</v>
      </c>
      <c r="H87" s="9">
        <v>86</v>
      </c>
      <c r="I87" s="10" t="s">
        <v>635</v>
      </c>
      <c r="J87" s="10" t="s">
        <v>60</v>
      </c>
      <c r="K87" s="9">
        <v>0</v>
      </c>
      <c r="L87" s="10" t="s">
        <v>636</v>
      </c>
      <c r="M87" s="9">
        <v>3</v>
      </c>
      <c r="N87" s="9" t="s">
        <v>126</v>
      </c>
      <c r="O87" s="10" t="s">
        <v>637</v>
      </c>
      <c r="P87" s="10" t="s">
        <v>638</v>
      </c>
      <c r="Q87" s="9">
        <v>2</v>
      </c>
      <c r="R87" s="10"/>
      <c r="S87" s="10"/>
      <c r="T87" s="9" t="s">
        <v>294</v>
      </c>
      <c r="U87" s="9" t="s">
        <v>627</v>
      </c>
    </row>
    <row r="88" spans="1:21" ht="66" x14ac:dyDescent="0.3">
      <c r="A88" s="11" t="s">
        <v>639</v>
      </c>
      <c r="B88" s="12">
        <v>8</v>
      </c>
      <c r="C88" s="9" t="s">
        <v>238</v>
      </c>
      <c r="D88" s="9" t="s">
        <v>565</v>
      </c>
      <c r="E88" s="9" t="s">
        <v>566</v>
      </c>
      <c r="F88" s="9" t="s">
        <v>640</v>
      </c>
      <c r="G88" s="9" t="s">
        <v>641</v>
      </c>
      <c r="H88" s="9">
        <v>87</v>
      </c>
      <c r="I88" s="10" t="s">
        <v>642</v>
      </c>
      <c r="J88" s="10" t="s">
        <v>643</v>
      </c>
      <c r="K88" s="9">
        <v>5</v>
      </c>
      <c r="L88" s="10" t="s">
        <v>644</v>
      </c>
      <c r="M88" s="9">
        <v>3</v>
      </c>
      <c r="N88" s="9" t="s">
        <v>62</v>
      </c>
      <c r="O88" s="10" t="s">
        <v>645</v>
      </c>
      <c r="P88" s="10" t="s">
        <v>60</v>
      </c>
      <c r="Q88" s="9">
        <v>0</v>
      </c>
      <c r="R88" s="10"/>
      <c r="S88" s="10"/>
      <c r="T88" s="9"/>
      <c r="U88" s="9"/>
    </row>
    <row r="89" spans="1:21" ht="52.8" x14ac:dyDescent="0.3">
      <c r="A89" s="11" t="s">
        <v>646</v>
      </c>
      <c r="B89" s="12">
        <v>8</v>
      </c>
      <c r="C89" s="9" t="s">
        <v>238</v>
      </c>
      <c r="D89" s="9" t="s">
        <v>565</v>
      </c>
      <c r="E89" s="9" t="s">
        <v>566</v>
      </c>
      <c r="F89" s="9" t="s">
        <v>640</v>
      </c>
      <c r="G89" s="9" t="s">
        <v>647</v>
      </c>
      <c r="H89" s="9">
        <v>88</v>
      </c>
      <c r="I89" s="10" t="s">
        <v>648</v>
      </c>
      <c r="J89" s="10" t="s">
        <v>60</v>
      </c>
      <c r="K89" s="9">
        <v>0</v>
      </c>
      <c r="L89" s="10" t="s">
        <v>60</v>
      </c>
      <c r="M89" s="9">
        <v>0</v>
      </c>
      <c r="N89" s="9" t="s">
        <v>126</v>
      </c>
      <c r="O89" s="10" t="s">
        <v>649</v>
      </c>
      <c r="P89" s="10" t="s">
        <v>60</v>
      </c>
      <c r="Q89" s="9">
        <v>0</v>
      </c>
      <c r="R89" s="10"/>
      <c r="S89" s="10"/>
      <c r="T89" s="9"/>
      <c r="U89" s="9"/>
    </row>
    <row r="90" spans="1:21" ht="66" x14ac:dyDescent="0.3">
      <c r="A90" s="11" t="s">
        <v>650</v>
      </c>
      <c r="B90" s="12">
        <v>8</v>
      </c>
      <c r="C90" s="9" t="s">
        <v>238</v>
      </c>
      <c r="D90" s="9" t="s">
        <v>565</v>
      </c>
      <c r="E90" s="9" t="s">
        <v>566</v>
      </c>
      <c r="F90" s="9" t="s">
        <v>640</v>
      </c>
      <c r="G90" s="9" t="s">
        <v>651</v>
      </c>
      <c r="H90" s="9">
        <v>89</v>
      </c>
      <c r="I90" s="10" t="s">
        <v>652</v>
      </c>
      <c r="J90" s="10" t="s">
        <v>60</v>
      </c>
      <c r="K90" s="9">
        <v>0</v>
      </c>
      <c r="L90" s="10" t="s">
        <v>60</v>
      </c>
      <c r="M90" s="9">
        <v>0</v>
      </c>
      <c r="N90" s="9" t="s">
        <v>62</v>
      </c>
      <c r="O90" s="10" t="s">
        <v>653</v>
      </c>
      <c r="P90" s="10" t="s">
        <v>654</v>
      </c>
      <c r="Q90" s="9">
        <v>2</v>
      </c>
      <c r="R90" s="10"/>
      <c r="S90" s="10"/>
      <c r="T90" s="9"/>
      <c r="U90" s="9" t="s">
        <v>655</v>
      </c>
    </row>
    <row r="91" spans="1:21" ht="39.6" x14ac:dyDescent="0.3">
      <c r="A91" s="11" t="s">
        <v>656</v>
      </c>
      <c r="B91" s="12">
        <v>8</v>
      </c>
      <c r="C91" s="9" t="s">
        <v>238</v>
      </c>
      <c r="D91" s="9" t="s">
        <v>565</v>
      </c>
      <c r="E91" s="9" t="s">
        <v>566</v>
      </c>
      <c r="F91" s="9" t="s">
        <v>640</v>
      </c>
      <c r="G91" s="9" t="s">
        <v>657</v>
      </c>
      <c r="H91" s="9">
        <v>90</v>
      </c>
      <c r="I91" s="10" t="s">
        <v>658</v>
      </c>
      <c r="J91" s="10" t="s">
        <v>659</v>
      </c>
      <c r="K91" s="9">
        <v>3</v>
      </c>
      <c r="L91" s="10" t="s">
        <v>660</v>
      </c>
      <c r="M91" s="9">
        <v>3</v>
      </c>
      <c r="N91" s="9" t="s">
        <v>62</v>
      </c>
      <c r="O91" s="10" t="s">
        <v>661</v>
      </c>
      <c r="P91" s="10" t="s">
        <v>662</v>
      </c>
      <c r="Q91" s="9">
        <v>1</v>
      </c>
      <c r="R91" s="10"/>
      <c r="S91" s="10"/>
      <c r="T91" s="9"/>
      <c r="U91" s="9" t="s">
        <v>663</v>
      </c>
    </row>
    <row r="92" spans="1:21" ht="39.6" x14ac:dyDescent="0.3">
      <c r="A92" s="11" t="s">
        <v>664</v>
      </c>
      <c r="B92" s="12">
        <v>8</v>
      </c>
      <c r="C92" s="9" t="s">
        <v>238</v>
      </c>
      <c r="D92" s="9" t="s">
        <v>565</v>
      </c>
      <c r="E92" s="9" t="s">
        <v>566</v>
      </c>
      <c r="F92" s="9" t="s">
        <v>640</v>
      </c>
      <c r="G92" s="9" t="s">
        <v>665</v>
      </c>
      <c r="H92" s="9">
        <v>91</v>
      </c>
      <c r="I92" s="10" t="s">
        <v>666</v>
      </c>
      <c r="J92" s="10" t="s">
        <v>60</v>
      </c>
      <c r="K92" s="9">
        <v>0</v>
      </c>
      <c r="L92" s="10" t="s">
        <v>60</v>
      </c>
      <c r="M92" s="9">
        <v>0</v>
      </c>
      <c r="N92" s="9" t="s">
        <v>101</v>
      </c>
      <c r="O92" s="10" t="s">
        <v>667</v>
      </c>
      <c r="P92" s="10" t="s">
        <v>60</v>
      </c>
      <c r="Q92" s="9">
        <v>0</v>
      </c>
      <c r="R92" s="10"/>
      <c r="S92" s="10"/>
      <c r="T92" s="9"/>
      <c r="U92" s="9" t="s">
        <v>668</v>
      </c>
    </row>
    <row r="93" spans="1:21" ht="26.4" x14ac:dyDescent="0.3">
      <c r="A93" s="11" t="s">
        <v>669</v>
      </c>
      <c r="B93" s="12">
        <v>8</v>
      </c>
      <c r="C93" s="9" t="s">
        <v>238</v>
      </c>
      <c r="D93" s="9" t="s">
        <v>565</v>
      </c>
      <c r="E93" s="9" t="s">
        <v>566</v>
      </c>
      <c r="F93" s="9" t="s">
        <v>670</v>
      </c>
      <c r="G93" s="9" t="s">
        <v>671</v>
      </c>
      <c r="H93" s="9">
        <v>92</v>
      </c>
      <c r="I93" s="10" t="s">
        <v>672</v>
      </c>
      <c r="J93" s="10" t="s">
        <v>60</v>
      </c>
      <c r="K93" s="9">
        <v>0</v>
      </c>
      <c r="L93" s="10" t="s">
        <v>60</v>
      </c>
      <c r="M93" s="9">
        <v>0</v>
      </c>
      <c r="N93" s="9" t="s">
        <v>76</v>
      </c>
      <c r="O93" s="10" t="s">
        <v>621</v>
      </c>
      <c r="P93" s="10" t="s">
        <v>673</v>
      </c>
      <c r="Q93" s="9">
        <v>1</v>
      </c>
      <c r="R93" s="10"/>
      <c r="S93" s="10"/>
      <c r="T93" s="9"/>
      <c r="U93" s="9"/>
    </row>
    <row r="94" spans="1:21" ht="52.8" x14ac:dyDescent="0.3">
      <c r="A94" s="11" t="s">
        <v>674</v>
      </c>
      <c r="B94" s="12">
        <v>8</v>
      </c>
      <c r="C94" s="9" t="s">
        <v>238</v>
      </c>
      <c r="D94" s="9" t="s">
        <v>565</v>
      </c>
      <c r="E94" s="9" t="s">
        <v>566</v>
      </c>
      <c r="F94" s="9" t="s">
        <v>670</v>
      </c>
      <c r="G94" s="9" t="s">
        <v>675</v>
      </c>
      <c r="H94" s="9">
        <v>93</v>
      </c>
      <c r="I94" s="10" t="s">
        <v>676</v>
      </c>
      <c r="J94" s="10" t="s">
        <v>60</v>
      </c>
      <c r="K94" s="9">
        <v>0</v>
      </c>
      <c r="L94" s="10" t="s">
        <v>60</v>
      </c>
      <c r="M94" s="9">
        <v>0</v>
      </c>
      <c r="N94" s="9" t="s">
        <v>76</v>
      </c>
      <c r="O94" s="10" t="s">
        <v>677</v>
      </c>
      <c r="P94" s="10" t="s">
        <v>60</v>
      </c>
      <c r="Q94" s="9">
        <v>0</v>
      </c>
      <c r="R94" s="10"/>
      <c r="S94" s="10"/>
      <c r="T94" s="9"/>
      <c r="U94" s="9"/>
    </row>
    <row r="95" spans="1:21" ht="39.6" x14ac:dyDescent="0.3">
      <c r="A95" s="11" t="s">
        <v>678</v>
      </c>
      <c r="B95" s="12">
        <v>8</v>
      </c>
      <c r="C95" s="9" t="s">
        <v>238</v>
      </c>
      <c r="D95" s="9" t="s">
        <v>565</v>
      </c>
      <c r="E95" s="9" t="s">
        <v>566</v>
      </c>
      <c r="F95" s="9" t="s">
        <v>670</v>
      </c>
      <c r="G95" s="9" t="s">
        <v>679</v>
      </c>
      <c r="H95" s="9">
        <v>94</v>
      </c>
      <c r="I95" s="10" t="s">
        <v>680</v>
      </c>
      <c r="J95" s="10" t="s">
        <v>60</v>
      </c>
      <c r="K95" s="9">
        <v>0</v>
      </c>
      <c r="L95" s="10" t="s">
        <v>60</v>
      </c>
      <c r="M95" s="9">
        <v>0</v>
      </c>
      <c r="N95" s="9" t="s">
        <v>76</v>
      </c>
      <c r="O95" s="10" t="s">
        <v>621</v>
      </c>
      <c r="P95" s="10" t="s">
        <v>60</v>
      </c>
      <c r="Q95" s="9">
        <v>0</v>
      </c>
      <c r="R95" s="10"/>
      <c r="S95" s="10"/>
      <c r="T95" s="9"/>
      <c r="U95" s="9"/>
    </row>
    <row r="96" spans="1:21" ht="66" x14ac:dyDescent="0.3">
      <c r="A96" s="11" t="s">
        <v>681</v>
      </c>
      <c r="B96" s="12">
        <v>8</v>
      </c>
      <c r="C96" s="9" t="s">
        <v>238</v>
      </c>
      <c r="D96" s="9" t="s">
        <v>565</v>
      </c>
      <c r="E96" s="9" t="s">
        <v>566</v>
      </c>
      <c r="F96" s="9" t="s">
        <v>670</v>
      </c>
      <c r="G96" s="9" t="s">
        <v>682</v>
      </c>
      <c r="H96" s="9">
        <v>95</v>
      </c>
      <c r="I96" s="10" t="s">
        <v>683</v>
      </c>
      <c r="J96" s="10" t="s">
        <v>684</v>
      </c>
      <c r="K96" s="9">
        <v>4</v>
      </c>
      <c r="L96" s="10" t="s">
        <v>685</v>
      </c>
      <c r="M96" s="9">
        <v>4</v>
      </c>
      <c r="N96" s="9" t="s">
        <v>62</v>
      </c>
      <c r="O96" s="10" t="s">
        <v>686</v>
      </c>
      <c r="P96" s="10" t="s">
        <v>687</v>
      </c>
      <c r="Q96" s="9">
        <v>3</v>
      </c>
      <c r="R96" s="10"/>
      <c r="S96" s="10"/>
      <c r="T96" s="9"/>
      <c r="U96" s="9" t="s">
        <v>688</v>
      </c>
    </row>
    <row r="97" spans="1:21" ht="39.6" x14ac:dyDescent="0.3">
      <c r="A97" s="13" t="s">
        <v>689</v>
      </c>
      <c r="B97" s="14">
        <v>9</v>
      </c>
      <c r="C97" s="9" t="s">
        <v>54</v>
      </c>
      <c r="D97" s="9" t="s">
        <v>55</v>
      </c>
      <c r="E97" s="9" t="s">
        <v>690</v>
      </c>
      <c r="F97" s="9" t="s">
        <v>691</v>
      </c>
      <c r="G97" s="9" t="s">
        <v>691</v>
      </c>
      <c r="H97" s="9">
        <v>96</v>
      </c>
      <c r="I97" s="10" t="s">
        <v>692</v>
      </c>
      <c r="J97" s="10" t="s">
        <v>693</v>
      </c>
      <c r="K97" s="9">
        <v>2</v>
      </c>
      <c r="L97" s="10" t="s">
        <v>694</v>
      </c>
      <c r="M97" s="9">
        <v>3</v>
      </c>
      <c r="N97" s="9" t="s">
        <v>76</v>
      </c>
      <c r="O97" s="10" t="s">
        <v>621</v>
      </c>
      <c r="P97" s="10" t="s">
        <v>60</v>
      </c>
      <c r="Q97" s="9">
        <v>0</v>
      </c>
      <c r="R97" s="10"/>
      <c r="S97" s="10"/>
      <c r="T97" s="9"/>
      <c r="U97" s="9"/>
    </row>
    <row r="98" spans="1:21" ht="79.2" x14ac:dyDescent="0.3">
      <c r="A98" s="13" t="s">
        <v>695</v>
      </c>
      <c r="B98" s="14">
        <v>9</v>
      </c>
      <c r="C98" s="9" t="s">
        <v>54</v>
      </c>
      <c r="D98" s="9" t="s">
        <v>55</v>
      </c>
      <c r="E98" s="9" t="s">
        <v>690</v>
      </c>
      <c r="F98" s="9" t="s">
        <v>696</v>
      </c>
      <c r="G98" s="9" t="s">
        <v>696</v>
      </c>
      <c r="H98" s="9">
        <v>97</v>
      </c>
      <c r="I98" s="10" t="s">
        <v>697</v>
      </c>
      <c r="J98" s="10" t="s">
        <v>698</v>
      </c>
      <c r="K98" s="9">
        <v>5</v>
      </c>
      <c r="L98" s="10" t="s">
        <v>699</v>
      </c>
      <c r="M98" s="9">
        <v>4</v>
      </c>
      <c r="N98" s="9" t="s">
        <v>62</v>
      </c>
      <c r="O98" s="10" t="s">
        <v>700</v>
      </c>
      <c r="P98" s="10" t="s">
        <v>701</v>
      </c>
      <c r="Q98" s="9">
        <v>2</v>
      </c>
      <c r="R98" s="10"/>
      <c r="S98" s="10"/>
      <c r="T98" s="9"/>
      <c r="U98" s="9"/>
    </row>
    <row r="99" spans="1:21" ht="52.8" x14ac:dyDescent="0.3">
      <c r="A99" s="13" t="s">
        <v>702</v>
      </c>
      <c r="B99" s="14">
        <v>9</v>
      </c>
      <c r="C99" s="9" t="s">
        <v>54</v>
      </c>
      <c r="D99" s="9" t="s">
        <v>55</v>
      </c>
      <c r="E99" s="9" t="s">
        <v>690</v>
      </c>
      <c r="F99" s="9" t="s">
        <v>703</v>
      </c>
      <c r="G99" s="9" t="s">
        <v>703</v>
      </c>
      <c r="H99" s="9">
        <v>98</v>
      </c>
      <c r="I99" s="10" t="s">
        <v>704</v>
      </c>
      <c r="J99" s="10" t="s">
        <v>705</v>
      </c>
      <c r="K99" s="9">
        <v>2</v>
      </c>
      <c r="L99" s="10" t="s">
        <v>706</v>
      </c>
      <c r="M99" s="9">
        <v>4</v>
      </c>
      <c r="N99" s="9" t="s">
        <v>62</v>
      </c>
      <c r="O99" s="10" t="s">
        <v>707</v>
      </c>
      <c r="P99" s="10" t="s">
        <v>708</v>
      </c>
      <c r="Q99" s="9">
        <v>1</v>
      </c>
      <c r="R99" s="10"/>
      <c r="S99" s="10"/>
      <c r="T99" s="9"/>
      <c r="U99" s="9"/>
    </row>
    <row r="100" spans="1:21" ht="66" x14ac:dyDescent="0.3">
      <c r="A100" s="13" t="s">
        <v>709</v>
      </c>
      <c r="B100" s="14">
        <v>9</v>
      </c>
      <c r="C100" s="9" t="s">
        <v>54</v>
      </c>
      <c r="D100" s="9" t="s">
        <v>55</v>
      </c>
      <c r="E100" s="9" t="s">
        <v>690</v>
      </c>
      <c r="F100" s="9" t="s">
        <v>710</v>
      </c>
      <c r="G100" s="9" t="s">
        <v>710</v>
      </c>
      <c r="H100" s="9">
        <v>99</v>
      </c>
      <c r="I100" s="10" t="s">
        <v>711</v>
      </c>
      <c r="J100" s="10" t="s">
        <v>712</v>
      </c>
      <c r="K100" s="9">
        <v>2</v>
      </c>
      <c r="L100" s="10" t="s">
        <v>713</v>
      </c>
      <c r="M100" s="9">
        <v>5</v>
      </c>
      <c r="N100" s="9" t="s">
        <v>62</v>
      </c>
      <c r="O100" s="10" t="s">
        <v>714</v>
      </c>
      <c r="P100" s="10" t="s">
        <v>715</v>
      </c>
      <c r="Q100" s="9">
        <v>2</v>
      </c>
      <c r="R100" s="10" t="s">
        <v>716</v>
      </c>
      <c r="S100" s="10"/>
      <c r="T100" s="9"/>
      <c r="U100" s="9"/>
    </row>
    <row r="101" spans="1:21" ht="52.8" x14ac:dyDescent="0.3">
      <c r="A101" s="13" t="s">
        <v>717</v>
      </c>
      <c r="B101" s="14">
        <v>9</v>
      </c>
      <c r="C101" s="9" t="s">
        <v>54</v>
      </c>
      <c r="D101" s="9" t="s">
        <v>55</v>
      </c>
      <c r="E101" s="9" t="s">
        <v>690</v>
      </c>
      <c r="F101" s="9" t="s">
        <v>718</v>
      </c>
      <c r="G101" s="9" t="s">
        <v>718</v>
      </c>
      <c r="H101" s="9">
        <v>100</v>
      </c>
      <c r="I101" s="10" t="s">
        <v>719</v>
      </c>
      <c r="J101" s="10" t="s">
        <v>720</v>
      </c>
      <c r="K101" s="9">
        <v>3</v>
      </c>
      <c r="L101" s="10" t="s">
        <v>721</v>
      </c>
      <c r="M101" s="9">
        <v>3</v>
      </c>
      <c r="N101" s="9" t="s">
        <v>126</v>
      </c>
      <c r="O101" s="10" t="s">
        <v>538</v>
      </c>
      <c r="P101" s="10" t="s">
        <v>60</v>
      </c>
      <c r="Q101" s="9">
        <v>0</v>
      </c>
      <c r="R101" s="10"/>
      <c r="S101" s="10"/>
      <c r="T101" s="9"/>
      <c r="U101" s="9"/>
    </row>
    <row r="102" spans="1:21" ht="66" x14ac:dyDescent="0.3">
      <c r="A102" s="13" t="s">
        <v>722</v>
      </c>
      <c r="B102" s="14">
        <v>9</v>
      </c>
      <c r="C102" s="9" t="s">
        <v>54</v>
      </c>
      <c r="D102" s="9" t="s">
        <v>55</v>
      </c>
      <c r="E102" s="9" t="s">
        <v>690</v>
      </c>
      <c r="F102" s="9" t="s">
        <v>723</v>
      </c>
      <c r="G102" s="9" t="s">
        <v>723</v>
      </c>
      <c r="H102" s="9">
        <v>101</v>
      </c>
      <c r="I102" s="10" t="s">
        <v>724</v>
      </c>
      <c r="J102" s="10" t="s">
        <v>60</v>
      </c>
      <c r="K102" s="9">
        <v>0</v>
      </c>
      <c r="L102" s="10" t="s">
        <v>725</v>
      </c>
      <c r="M102" s="9">
        <v>3</v>
      </c>
      <c r="N102" s="9" t="s">
        <v>62</v>
      </c>
      <c r="O102" s="10" t="s">
        <v>726</v>
      </c>
      <c r="P102" s="10" t="s">
        <v>60</v>
      </c>
      <c r="Q102" s="9">
        <v>0</v>
      </c>
      <c r="R102" s="10"/>
      <c r="S102" s="10"/>
      <c r="T102" s="9"/>
      <c r="U102" s="9"/>
    </row>
    <row r="103" spans="1:21" ht="66" x14ac:dyDescent="0.3">
      <c r="A103" s="13" t="s">
        <v>727</v>
      </c>
      <c r="B103" s="14">
        <v>9</v>
      </c>
      <c r="C103" s="9" t="s">
        <v>54</v>
      </c>
      <c r="D103" s="9" t="s">
        <v>55</v>
      </c>
      <c r="E103" s="9" t="s">
        <v>690</v>
      </c>
      <c r="F103" s="9" t="s">
        <v>728</v>
      </c>
      <c r="G103" s="9" t="s">
        <v>728</v>
      </c>
      <c r="H103" s="9">
        <v>102</v>
      </c>
      <c r="I103" s="10" t="s">
        <v>729</v>
      </c>
      <c r="J103" s="10" t="s">
        <v>60</v>
      </c>
      <c r="K103" s="9">
        <v>0</v>
      </c>
      <c r="L103" s="10" t="s">
        <v>730</v>
      </c>
      <c r="M103" s="9">
        <v>3</v>
      </c>
      <c r="N103" s="9" t="s">
        <v>62</v>
      </c>
      <c r="O103" s="10" t="s">
        <v>731</v>
      </c>
      <c r="P103" s="10" t="s">
        <v>60</v>
      </c>
      <c r="Q103" s="9">
        <v>0</v>
      </c>
      <c r="R103" s="10" t="s">
        <v>732</v>
      </c>
      <c r="S103" s="10"/>
      <c r="T103" s="9"/>
      <c r="U103" s="9"/>
    </row>
    <row r="104" spans="1:21" ht="92.4" x14ac:dyDescent="0.3">
      <c r="A104" s="13" t="s">
        <v>733</v>
      </c>
      <c r="B104" s="14">
        <v>9</v>
      </c>
      <c r="C104" s="9" t="s">
        <v>54</v>
      </c>
      <c r="D104" s="9" t="s">
        <v>381</v>
      </c>
      <c r="E104" s="9" t="s">
        <v>734</v>
      </c>
      <c r="F104" s="9" t="s">
        <v>735</v>
      </c>
      <c r="G104" s="9" t="s">
        <v>735</v>
      </c>
      <c r="H104" s="9">
        <v>103</v>
      </c>
      <c r="I104" s="10" t="s">
        <v>736</v>
      </c>
      <c r="J104" s="10" t="s">
        <v>737</v>
      </c>
      <c r="K104" s="9">
        <v>5</v>
      </c>
      <c r="L104" s="10" t="s">
        <v>738</v>
      </c>
      <c r="M104" s="9">
        <v>3</v>
      </c>
      <c r="N104" s="9" t="s">
        <v>62</v>
      </c>
      <c r="O104" s="10" t="s">
        <v>739</v>
      </c>
      <c r="P104" s="10" t="s">
        <v>740</v>
      </c>
      <c r="Q104" s="9">
        <v>2</v>
      </c>
      <c r="R104" s="10"/>
      <c r="S104" s="10"/>
      <c r="T104" s="9"/>
      <c r="U104" s="9"/>
    </row>
    <row r="105" spans="1:21" ht="66" x14ac:dyDescent="0.3">
      <c r="A105" s="13" t="s">
        <v>741</v>
      </c>
      <c r="B105" s="14">
        <v>9</v>
      </c>
      <c r="C105" s="9" t="s">
        <v>54</v>
      </c>
      <c r="D105" s="9" t="s">
        <v>381</v>
      </c>
      <c r="E105" s="9" t="s">
        <v>734</v>
      </c>
      <c r="F105" s="9" t="s">
        <v>742</v>
      </c>
      <c r="G105" s="9" t="s">
        <v>743</v>
      </c>
      <c r="H105" s="9">
        <v>104</v>
      </c>
      <c r="I105" s="10" t="s">
        <v>744</v>
      </c>
      <c r="J105" s="10" t="s">
        <v>60</v>
      </c>
      <c r="K105" s="9">
        <v>0</v>
      </c>
      <c r="L105" s="10" t="s">
        <v>745</v>
      </c>
      <c r="M105" s="9">
        <v>2</v>
      </c>
      <c r="N105" s="9" t="s">
        <v>76</v>
      </c>
      <c r="O105" s="10" t="s">
        <v>746</v>
      </c>
      <c r="P105" s="10" t="s">
        <v>60</v>
      </c>
      <c r="Q105" s="9">
        <v>0</v>
      </c>
      <c r="R105" s="10"/>
      <c r="S105" s="10"/>
      <c r="T105" s="9"/>
      <c r="U105" s="9"/>
    </row>
    <row r="106" spans="1:21" ht="39.6" x14ac:dyDescent="0.3">
      <c r="A106" s="13" t="s">
        <v>747</v>
      </c>
      <c r="B106" s="14">
        <v>9</v>
      </c>
      <c r="C106" s="9" t="s">
        <v>54</v>
      </c>
      <c r="D106" s="9" t="s">
        <v>381</v>
      </c>
      <c r="E106" s="9" t="s">
        <v>734</v>
      </c>
      <c r="F106" s="9" t="s">
        <v>742</v>
      </c>
      <c r="G106" s="9" t="s">
        <v>748</v>
      </c>
      <c r="H106" s="9">
        <v>105</v>
      </c>
      <c r="I106" s="10" t="s">
        <v>749</v>
      </c>
      <c r="J106" s="10" t="s">
        <v>750</v>
      </c>
      <c r="K106" s="9">
        <v>3</v>
      </c>
      <c r="L106" s="10" t="s">
        <v>751</v>
      </c>
      <c r="M106" s="9">
        <v>3</v>
      </c>
      <c r="N106" s="9" t="s">
        <v>62</v>
      </c>
      <c r="O106" s="10" t="s">
        <v>752</v>
      </c>
      <c r="P106" s="10" t="s">
        <v>60</v>
      </c>
      <c r="Q106" s="9">
        <v>0</v>
      </c>
      <c r="R106" s="10"/>
      <c r="S106" s="10"/>
      <c r="T106" s="9"/>
      <c r="U106" s="9"/>
    </row>
    <row r="107" spans="1:21" ht="79.2" x14ac:dyDescent="0.3">
      <c r="A107" s="13" t="s">
        <v>753</v>
      </c>
      <c r="B107" s="14">
        <v>9</v>
      </c>
      <c r="C107" s="9" t="s">
        <v>54</v>
      </c>
      <c r="D107" s="9" t="s">
        <v>381</v>
      </c>
      <c r="E107" s="9" t="s">
        <v>734</v>
      </c>
      <c r="F107" s="9" t="s">
        <v>742</v>
      </c>
      <c r="G107" s="9" t="s">
        <v>754</v>
      </c>
      <c r="H107" s="9">
        <v>106</v>
      </c>
      <c r="I107" s="10" t="s">
        <v>755</v>
      </c>
      <c r="J107" s="10" t="s">
        <v>756</v>
      </c>
      <c r="K107" s="9">
        <v>6</v>
      </c>
      <c r="L107" s="10" t="s">
        <v>757</v>
      </c>
      <c r="M107" s="9">
        <v>4</v>
      </c>
      <c r="N107" s="9" t="s">
        <v>62</v>
      </c>
      <c r="O107" s="10" t="s">
        <v>758</v>
      </c>
      <c r="P107" s="10" t="s">
        <v>60</v>
      </c>
      <c r="Q107" s="9">
        <v>0</v>
      </c>
      <c r="R107" s="10" t="s">
        <v>759</v>
      </c>
      <c r="S107" s="10"/>
      <c r="T107" s="9"/>
      <c r="U107" s="9"/>
    </row>
    <row r="108" spans="1:21" ht="52.8" x14ac:dyDescent="0.3">
      <c r="A108" s="13" t="s">
        <v>760</v>
      </c>
      <c r="B108" s="14">
        <v>9</v>
      </c>
      <c r="C108" s="9" t="s">
        <v>54</v>
      </c>
      <c r="D108" s="9" t="s">
        <v>381</v>
      </c>
      <c r="E108" s="9" t="s">
        <v>734</v>
      </c>
      <c r="F108" s="9" t="s">
        <v>761</v>
      </c>
      <c r="G108" s="9" t="s">
        <v>762</v>
      </c>
      <c r="H108" s="9">
        <v>107</v>
      </c>
      <c r="I108" s="10" t="s">
        <v>763</v>
      </c>
      <c r="J108" s="10" t="s">
        <v>764</v>
      </c>
      <c r="K108" s="9">
        <v>4</v>
      </c>
      <c r="L108" s="10" t="s">
        <v>765</v>
      </c>
      <c r="M108" s="9">
        <v>4</v>
      </c>
      <c r="N108" s="9" t="s">
        <v>62</v>
      </c>
      <c r="O108" s="10" t="s">
        <v>766</v>
      </c>
      <c r="P108" s="10" t="s">
        <v>767</v>
      </c>
      <c r="Q108" s="9">
        <v>1</v>
      </c>
      <c r="R108" s="10"/>
      <c r="S108" s="10"/>
      <c r="T108" s="9"/>
      <c r="U108" s="9"/>
    </row>
    <row r="109" spans="1:21" ht="52.8" x14ac:dyDescent="0.3">
      <c r="A109" s="13" t="s">
        <v>768</v>
      </c>
      <c r="B109" s="14">
        <v>9</v>
      </c>
      <c r="C109" s="9" t="s">
        <v>54</v>
      </c>
      <c r="D109" s="9" t="s">
        <v>381</v>
      </c>
      <c r="E109" s="9" t="s">
        <v>734</v>
      </c>
      <c r="F109" s="9" t="s">
        <v>761</v>
      </c>
      <c r="G109" s="9" t="s">
        <v>769</v>
      </c>
      <c r="H109" s="9">
        <v>108</v>
      </c>
      <c r="I109" s="10" t="s">
        <v>770</v>
      </c>
      <c r="J109" s="10" t="s">
        <v>771</v>
      </c>
      <c r="K109" s="9">
        <v>2</v>
      </c>
      <c r="L109" s="10" t="s">
        <v>772</v>
      </c>
      <c r="M109" s="9">
        <v>4</v>
      </c>
      <c r="N109" s="9" t="s">
        <v>62</v>
      </c>
      <c r="O109" s="10" t="s">
        <v>607</v>
      </c>
      <c r="P109" s="10" t="s">
        <v>60</v>
      </c>
      <c r="Q109" s="9">
        <v>0</v>
      </c>
      <c r="R109" s="10" t="s">
        <v>773</v>
      </c>
      <c r="S109" s="10"/>
      <c r="T109" s="9"/>
      <c r="U109" s="9"/>
    </row>
    <row r="110" spans="1:21" ht="66" x14ac:dyDescent="0.3">
      <c r="A110" s="13" t="s">
        <v>774</v>
      </c>
      <c r="B110" s="14">
        <v>9</v>
      </c>
      <c r="C110" s="9" t="s">
        <v>54</v>
      </c>
      <c r="D110" s="9" t="s">
        <v>381</v>
      </c>
      <c r="E110" s="9" t="s">
        <v>734</v>
      </c>
      <c r="F110" s="9" t="s">
        <v>761</v>
      </c>
      <c r="G110" s="9" t="s">
        <v>775</v>
      </c>
      <c r="H110" s="9">
        <v>109</v>
      </c>
      <c r="I110" s="10" t="s">
        <v>776</v>
      </c>
      <c r="J110" s="10" t="s">
        <v>777</v>
      </c>
      <c r="K110" s="9">
        <v>4</v>
      </c>
      <c r="L110" s="10" t="s">
        <v>778</v>
      </c>
      <c r="M110" s="9">
        <v>4</v>
      </c>
      <c r="N110" s="9" t="s">
        <v>62</v>
      </c>
      <c r="O110" s="10" t="s">
        <v>779</v>
      </c>
      <c r="P110" s="10" t="s">
        <v>780</v>
      </c>
      <c r="Q110" s="9">
        <v>2</v>
      </c>
      <c r="R110" s="10"/>
      <c r="S110" s="10"/>
      <c r="T110" s="9"/>
      <c r="U110" s="9"/>
    </row>
    <row r="111" spans="1:21" ht="39.6" x14ac:dyDescent="0.3">
      <c r="A111" s="13" t="s">
        <v>781</v>
      </c>
      <c r="B111" s="14">
        <v>9</v>
      </c>
      <c r="C111" s="9" t="s">
        <v>54</v>
      </c>
      <c r="D111" s="9" t="s">
        <v>381</v>
      </c>
      <c r="E111" s="9" t="s">
        <v>734</v>
      </c>
      <c r="F111" s="9" t="s">
        <v>761</v>
      </c>
      <c r="G111" s="9" t="s">
        <v>782</v>
      </c>
      <c r="H111" s="9">
        <v>110</v>
      </c>
      <c r="I111" s="10" t="s">
        <v>783</v>
      </c>
      <c r="J111" s="10" t="s">
        <v>784</v>
      </c>
      <c r="K111" s="9">
        <v>3</v>
      </c>
      <c r="L111" s="10" t="s">
        <v>785</v>
      </c>
      <c r="M111" s="9">
        <v>2</v>
      </c>
      <c r="N111" s="9" t="s">
        <v>62</v>
      </c>
      <c r="O111" s="10" t="s">
        <v>607</v>
      </c>
      <c r="P111" s="10" t="s">
        <v>60</v>
      </c>
      <c r="Q111" s="9">
        <v>0</v>
      </c>
      <c r="R111" s="10" t="s">
        <v>786</v>
      </c>
      <c r="S111" s="10"/>
      <c r="T111" s="9"/>
      <c r="U111" s="9"/>
    </row>
    <row r="112" spans="1:21" ht="66" x14ac:dyDescent="0.3">
      <c r="A112" s="13" t="s">
        <v>787</v>
      </c>
      <c r="B112" s="14">
        <v>9</v>
      </c>
      <c r="C112" s="9" t="s">
        <v>54</v>
      </c>
      <c r="D112" s="9" t="s">
        <v>175</v>
      </c>
      <c r="E112" s="9" t="s">
        <v>788</v>
      </c>
      <c r="F112" s="9" t="s">
        <v>789</v>
      </c>
      <c r="G112" s="9" t="s">
        <v>790</v>
      </c>
      <c r="H112" s="9">
        <v>111</v>
      </c>
      <c r="I112" s="10" t="s">
        <v>791</v>
      </c>
      <c r="J112" s="10" t="s">
        <v>60</v>
      </c>
      <c r="K112" s="9">
        <v>0</v>
      </c>
      <c r="L112" s="10" t="s">
        <v>60</v>
      </c>
      <c r="M112" s="9">
        <v>0</v>
      </c>
      <c r="N112" s="9" t="s">
        <v>62</v>
      </c>
      <c r="O112" s="10" t="s">
        <v>792</v>
      </c>
      <c r="P112" s="10" t="s">
        <v>60</v>
      </c>
      <c r="Q112" s="9">
        <v>0</v>
      </c>
      <c r="R112" s="10"/>
      <c r="S112" s="10"/>
      <c r="T112" s="9"/>
      <c r="U112" s="9"/>
    </row>
    <row r="113" spans="1:21" ht="52.8" x14ac:dyDescent="0.3">
      <c r="A113" s="13" t="s">
        <v>793</v>
      </c>
      <c r="B113" s="14">
        <v>9</v>
      </c>
      <c r="C113" s="9" t="s">
        <v>54</v>
      </c>
      <c r="D113" s="9" t="s">
        <v>175</v>
      </c>
      <c r="E113" s="9" t="s">
        <v>788</v>
      </c>
      <c r="F113" s="9" t="s">
        <v>789</v>
      </c>
      <c r="G113" s="9" t="s">
        <v>794</v>
      </c>
      <c r="H113" s="9">
        <v>112</v>
      </c>
      <c r="I113" s="10" t="s">
        <v>795</v>
      </c>
      <c r="J113" s="10" t="s">
        <v>796</v>
      </c>
      <c r="K113" s="9">
        <v>4</v>
      </c>
      <c r="L113" s="10" t="s">
        <v>797</v>
      </c>
      <c r="M113" s="9">
        <v>4</v>
      </c>
      <c r="N113" s="9" t="s">
        <v>62</v>
      </c>
      <c r="O113" s="10" t="s">
        <v>607</v>
      </c>
      <c r="P113" s="10" t="s">
        <v>60</v>
      </c>
      <c r="Q113" s="9">
        <v>0</v>
      </c>
      <c r="R113" s="10"/>
      <c r="S113" s="10"/>
      <c r="T113" s="9"/>
      <c r="U113" s="9"/>
    </row>
    <row r="114" spans="1:21" ht="52.8" x14ac:dyDescent="0.3">
      <c r="A114" s="13" t="s">
        <v>663</v>
      </c>
      <c r="B114" s="14">
        <v>9</v>
      </c>
      <c r="C114" s="9" t="s">
        <v>54</v>
      </c>
      <c r="D114" s="9" t="s">
        <v>175</v>
      </c>
      <c r="E114" s="9" t="s">
        <v>788</v>
      </c>
      <c r="F114" s="9" t="s">
        <v>789</v>
      </c>
      <c r="G114" s="9" t="s">
        <v>798</v>
      </c>
      <c r="H114" s="9">
        <v>113</v>
      </c>
      <c r="I114" s="10" t="s">
        <v>799</v>
      </c>
      <c r="J114" s="10" t="s">
        <v>800</v>
      </c>
      <c r="K114" s="9">
        <v>3</v>
      </c>
      <c r="L114" s="10" t="s">
        <v>801</v>
      </c>
      <c r="M114" s="9">
        <v>3</v>
      </c>
      <c r="N114" s="9" t="s">
        <v>62</v>
      </c>
      <c r="O114" s="10" t="s">
        <v>802</v>
      </c>
      <c r="P114" s="10" t="s">
        <v>60</v>
      </c>
      <c r="Q114" s="9">
        <v>0</v>
      </c>
      <c r="R114" s="10"/>
      <c r="S114" s="10"/>
      <c r="T114" s="9" t="s">
        <v>656</v>
      </c>
      <c r="U114" s="9"/>
    </row>
    <row r="115" spans="1:21" ht="66" x14ac:dyDescent="0.3">
      <c r="A115" s="13" t="s">
        <v>803</v>
      </c>
      <c r="B115" s="14">
        <v>9</v>
      </c>
      <c r="C115" s="9" t="s">
        <v>54</v>
      </c>
      <c r="D115" s="9" t="s">
        <v>175</v>
      </c>
      <c r="E115" s="9" t="s">
        <v>788</v>
      </c>
      <c r="F115" s="9" t="s">
        <v>789</v>
      </c>
      <c r="G115" s="9" t="s">
        <v>804</v>
      </c>
      <c r="H115" s="9">
        <v>114</v>
      </c>
      <c r="I115" s="10" t="s">
        <v>805</v>
      </c>
      <c r="J115" s="10" t="s">
        <v>806</v>
      </c>
      <c r="K115" s="9">
        <v>4</v>
      </c>
      <c r="L115" s="10" t="s">
        <v>807</v>
      </c>
      <c r="M115" s="9">
        <v>5</v>
      </c>
      <c r="N115" s="9" t="s">
        <v>62</v>
      </c>
      <c r="O115" s="10" t="s">
        <v>808</v>
      </c>
      <c r="P115" s="10" t="s">
        <v>809</v>
      </c>
      <c r="Q115" s="9">
        <v>2</v>
      </c>
      <c r="R115" s="10" t="s">
        <v>810</v>
      </c>
      <c r="S115" s="10"/>
      <c r="T115" s="9" t="s">
        <v>105</v>
      </c>
      <c r="U115" s="9" t="s">
        <v>811</v>
      </c>
    </row>
    <row r="116" spans="1:21" ht="39.6" x14ac:dyDescent="0.3">
      <c r="A116" s="13" t="s">
        <v>812</v>
      </c>
      <c r="B116" s="14">
        <v>9</v>
      </c>
      <c r="C116" s="9" t="s">
        <v>54</v>
      </c>
      <c r="D116" s="9" t="s">
        <v>175</v>
      </c>
      <c r="E116" s="9" t="s">
        <v>788</v>
      </c>
      <c r="F116" s="9" t="s">
        <v>813</v>
      </c>
      <c r="G116" s="9" t="s">
        <v>814</v>
      </c>
      <c r="H116" s="9">
        <v>115</v>
      </c>
      <c r="I116" s="10" t="s">
        <v>815</v>
      </c>
      <c r="J116" s="10" t="s">
        <v>816</v>
      </c>
      <c r="K116" s="9">
        <v>2</v>
      </c>
      <c r="L116" s="10" t="s">
        <v>817</v>
      </c>
      <c r="M116" s="9">
        <v>2</v>
      </c>
      <c r="N116" s="9" t="s">
        <v>126</v>
      </c>
      <c r="O116" s="10" t="s">
        <v>818</v>
      </c>
      <c r="P116" s="10" t="s">
        <v>60</v>
      </c>
      <c r="Q116" s="9">
        <v>0</v>
      </c>
      <c r="R116" s="10"/>
      <c r="S116" s="10"/>
      <c r="T116" s="9"/>
      <c r="U116" s="9"/>
    </row>
    <row r="117" spans="1:21" ht="66" x14ac:dyDescent="0.3">
      <c r="A117" s="13" t="s">
        <v>655</v>
      </c>
      <c r="B117" s="14">
        <v>9</v>
      </c>
      <c r="C117" s="9" t="s">
        <v>54</v>
      </c>
      <c r="D117" s="9" t="s">
        <v>175</v>
      </c>
      <c r="E117" s="9" t="s">
        <v>788</v>
      </c>
      <c r="F117" s="9" t="s">
        <v>813</v>
      </c>
      <c r="G117" s="9" t="s">
        <v>819</v>
      </c>
      <c r="H117" s="9">
        <v>116</v>
      </c>
      <c r="I117" s="10" t="s">
        <v>820</v>
      </c>
      <c r="J117" s="10" t="s">
        <v>60</v>
      </c>
      <c r="K117" s="9">
        <v>0</v>
      </c>
      <c r="L117" s="10" t="s">
        <v>821</v>
      </c>
      <c r="M117" s="9">
        <v>3</v>
      </c>
      <c r="N117" s="9" t="s">
        <v>62</v>
      </c>
      <c r="O117" s="10" t="s">
        <v>822</v>
      </c>
      <c r="P117" s="10" t="s">
        <v>823</v>
      </c>
      <c r="Q117" s="9">
        <v>2</v>
      </c>
      <c r="R117" s="10"/>
      <c r="S117" s="10"/>
      <c r="T117" s="9" t="s">
        <v>650</v>
      </c>
      <c r="U117" s="9"/>
    </row>
    <row r="118" spans="1:21" ht="39.6" x14ac:dyDescent="0.3">
      <c r="A118" s="13" t="s">
        <v>824</v>
      </c>
      <c r="B118" s="14">
        <v>9</v>
      </c>
      <c r="C118" s="9" t="s">
        <v>54</v>
      </c>
      <c r="D118" s="9" t="s">
        <v>175</v>
      </c>
      <c r="E118" s="9" t="s">
        <v>788</v>
      </c>
      <c r="F118" s="9" t="s">
        <v>813</v>
      </c>
      <c r="G118" s="9" t="s">
        <v>825</v>
      </c>
      <c r="H118" s="9">
        <v>117</v>
      </c>
      <c r="I118" s="10" t="s">
        <v>826</v>
      </c>
      <c r="J118" s="10" t="s">
        <v>60</v>
      </c>
      <c r="K118" s="9">
        <v>0</v>
      </c>
      <c r="L118" s="10" t="s">
        <v>827</v>
      </c>
      <c r="M118" s="9">
        <v>2</v>
      </c>
      <c r="N118" s="9" t="s">
        <v>126</v>
      </c>
      <c r="O118" s="10" t="s">
        <v>828</v>
      </c>
      <c r="P118" s="10" t="s">
        <v>60</v>
      </c>
      <c r="Q118" s="9">
        <v>0</v>
      </c>
      <c r="R118" s="10"/>
      <c r="S118" s="10"/>
      <c r="T118" s="9"/>
      <c r="U118" s="9"/>
    </row>
    <row r="119" spans="1:21" ht="52.8" x14ac:dyDescent="0.3">
      <c r="A119" s="13" t="s">
        <v>668</v>
      </c>
      <c r="B119" s="14">
        <v>9</v>
      </c>
      <c r="C119" s="9" t="s">
        <v>54</v>
      </c>
      <c r="D119" s="9" t="s">
        <v>175</v>
      </c>
      <c r="E119" s="9" t="s">
        <v>788</v>
      </c>
      <c r="F119" s="9" t="s">
        <v>813</v>
      </c>
      <c r="G119" s="9" t="s">
        <v>665</v>
      </c>
      <c r="H119" s="9">
        <v>118</v>
      </c>
      <c r="I119" s="10" t="s">
        <v>829</v>
      </c>
      <c r="J119" s="10" t="s">
        <v>60</v>
      </c>
      <c r="K119" s="9">
        <v>0</v>
      </c>
      <c r="L119" s="10" t="s">
        <v>60</v>
      </c>
      <c r="M119" s="9">
        <v>0</v>
      </c>
      <c r="N119" s="9" t="s">
        <v>62</v>
      </c>
      <c r="O119" s="10" t="s">
        <v>607</v>
      </c>
      <c r="P119" s="10" t="s">
        <v>60</v>
      </c>
      <c r="Q119" s="9">
        <v>0</v>
      </c>
      <c r="R119" s="10"/>
      <c r="S119" s="10"/>
      <c r="T119" s="9" t="s">
        <v>664</v>
      </c>
      <c r="U119" s="9"/>
    </row>
    <row r="120" spans="1:21" ht="79.2" x14ac:dyDescent="0.3">
      <c r="A120" s="13" t="s">
        <v>830</v>
      </c>
      <c r="B120" s="14">
        <v>9</v>
      </c>
      <c r="C120" s="9" t="s">
        <v>238</v>
      </c>
      <c r="D120" s="9" t="s">
        <v>239</v>
      </c>
      <c r="E120" s="9" t="s">
        <v>831</v>
      </c>
      <c r="F120" s="9" t="s">
        <v>832</v>
      </c>
      <c r="G120" s="9" t="s">
        <v>833</v>
      </c>
      <c r="H120" s="9">
        <v>119</v>
      </c>
      <c r="I120" s="10" t="s">
        <v>834</v>
      </c>
      <c r="J120" s="10" t="s">
        <v>60</v>
      </c>
      <c r="K120" s="9">
        <v>0</v>
      </c>
      <c r="L120" s="10" t="s">
        <v>835</v>
      </c>
      <c r="M120" s="9">
        <v>3</v>
      </c>
      <c r="N120" s="9" t="s">
        <v>62</v>
      </c>
      <c r="O120" s="10" t="s">
        <v>836</v>
      </c>
      <c r="P120" s="10" t="s">
        <v>837</v>
      </c>
      <c r="Q120" s="9">
        <v>1</v>
      </c>
      <c r="R120" s="10"/>
      <c r="S120" s="10"/>
      <c r="T120" s="9"/>
      <c r="U120" s="9" t="s">
        <v>838</v>
      </c>
    </row>
    <row r="121" spans="1:21" ht="66" x14ac:dyDescent="0.3">
      <c r="A121" s="13" t="s">
        <v>839</v>
      </c>
      <c r="B121" s="14">
        <v>9</v>
      </c>
      <c r="C121" s="9" t="s">
        <v>238</v>
      </c>
      <c r="D121" s="9" t="s">
        <v>239</v>
      </c>
      <c r="E121" s="9" t="s">
        <v>831</v>
      </c>
      <c r="F121" s="9" t="s">
        <v>832</v>
      </c>
      <c r="G121" s="9" t="s">
        <v>840</v>
      </c>
      <c r="H121" s="9">
        <v>120</v>
      </c>
      <c r="I121" s="10" t="s">
        <v>841</v>
      </c>
      <c r="J121" s="10" t="s">
        <v>60</v>
      </c>
      <c r="K121" s="9">
        <v>0</v>
      </c>
      <c r="L121" s="10" t="s">
        <v>842</v>
      </c>
      <c r="M121" s="9">
        <v>2</v>
      </c>
      <c r="N121" s="9" t="s">
        <v>62</v>
      </c>
      <c r="O121" s="10" t="s">
        <v>607</v>
      </c>
      <c r="P121" s="10" t="s">
        <v>60</v>
      </c>
      <c r="Q121" s="9">
        <v>0</v>
      </c>
      <c r="R121" s="10"/>
      <c r="S121" s="10"/>
      <c r="T121" s="9"/>
      <c r="U121" s="9" t="s">
        <v>843</v>
      </c>
    </row>
    <row r="122" spans="1:21" ht="66" x14ac:dyDescent="0.3">
      <c r="A122" s="13" t="s">
        <v>844</v>
      </c>
      <c r="B122" s="14">
        <v>9</v>
      </c>
      <c r="C122" s="9" t="s">
        <v>238</v>
      </c>
      <c r="D122" s="9" t="s">
        <v>239</v>
      </c>
      <c r="E122" s="9" t="s">
        <v>831</v>
      </c>
      <c r="F122" s="9" t="s">
        <v>832</v>
      </c>
      <c r="G122" s="9" t="s">
        <v>845</v>
      </c>
      <c r="H122" s="9">
        <v>121</v>
      </c>
      <c r="I122" s="10" t="s">
        <v>846</v>
      </c>
      <c r="J122" s="10" t="s">
        <v>60</v>
      </c>
      <c r="K122" s="9">
        <v>0</v>
      </c>
      <c r="L122" s="10" t="s">
        <v>847</v>
      </c>
      <c r="M122" s="9">
        <v>2</v>
      </c>
      <c r="N122" s="9" t="s">
        <v>126</v>
      </c>
      <c r="O122" s="10" t="s">
        <v>848</v>
      </c>
      <c r="P122" s="10" t="s">
        <v>60</v>
      </c>
      <c r="Q122" s="9">
        <v>0</v>
      </c>
      <c r="R122" s="10" t="s">
        <v>849</v>
      </c>
      <c r="S122" s="10"/>
      <c r="T122" s="9"/>
      <c r="U122" s="9"/>
    </row>
    <row r="123" spans="1:21" ht="79.2" x14ac:dyDescent="0.3">
      <c r="A123" s="13" t="s">
        <v>850</v>
      </c>
      <c r="B123" s="14">
        <v>9</v>
      </c>
      <c r="C123" s="9" t="s">
        <v>238</v>
      </c>
      <c r="D123" s="9" t="s">
        <v>239</v>
      </c>
      <c r="E123" s="9" t="s">
        <v>831</v>
      </c>
      <c r="F123" s="9" t="s">
        <v>851</v>
      </c>
      <c r="G123" s="9" t="s">
        <v>852</v>
      </c>
      <c r="H123" s="9">
        <v>122</v>
      </c>
      <c r="I123" s="10" t="s">
        <v>853</v>
      </c>
      <c r="J123" s="10" t="s">
        <v>60</v>
      </c>
      <c r="K123" s="9">
        <v>0</v>
      </c>
      <c r="L123" s="10" t="s">
        <v>854</v>
      </c>
      <c r="M123" s="9">
        <v>3</v>
      </c>
      <c r="N123" s="9" t="s">
        <v>62</v>
      </c>
      <c r="O123" s="10" t="s">
        <v>855</v>
      </c>
      <c r="P123" s="10" t="s">
        <v>856</v>
      </c>
      <c r="Q123" s="9">
        <v>1</v>
      </c>
      <c r="R123" s="10"/>
      <c r="S123" s="10"/>
      <c r="T123" s="9"/>
      <c r="U123" s="9" t="s">
        <v>857</v>
      </c>
    </row>
    <row r="124" spans="1:21" ht="79.2" x14ac:dyDescent="0.3">
      <c r="A124" s="13" t="s">
        <v>858</v>
      </c>
      <c r="B124" s="14">
        <v>9</v>
      </c>
      <c r="C124" s="9" t="s">
        <v>238</v>
      </c>
      <c r="D124" s="9" t="s">
        <v>239</v>
      </c>
      <c r="E124" s="9" t="s">
        <v>831</v>
      </c>
      <c r="F124" s="9" t="s">
        <v>851</v>
      </c>
      <c r="G124" s="9" t="s">
        <v>859</v>
      </c>
      <c r="H124" s="9">
        <v>123</v>
      </c>
      <c r="I124" s="10" t="s">
        <v>860</v>
      </c>
      <c r="J124" s="10" t="s">
        <v>60</v>
      </c>
      <c r="K124" s="9">
        <v>0</v>
      </c>
      <c r="L124" s="10" t="s">
        <v>861</v>
      </c>
      <c r="M124" s="9">
        <v>3</v>
      </c>
      <c r="N124" s="9" t="s">
        <v>126</v>
      </c>
      <c r="O124" s="10" t="s">
        <v>862</v>
      </c>
      <c r="P124" s="10" t="s">
        <v>863</v>
      </c>
      <c r="Q124" s="9">
        <v>1</v>
      </c>
      <c r="R124" s="10"/>
      <c r="S124" s="10"/>
      <c r="T124" s="9"/>
      <c r="U124" s="9" t="s">
        <v>864</v>
      </c>
    </row>
    <row r="125" spans="1:21" ht="92.4" x14ac:dyDescent="0.3">
      <c r="A125" s="13" t="s">
        <v>865</v>
      </c>
      <c r="B125" s="14">
        <v>9</v>
      </c>
      <c r="C125" s="9" t="s">
        <v>238</v>
      </c>
      <c r="D125" s="9" t="s">
        <v>239</v>
      </c>
      <c r="E125" s="9" t="s">
        <v>831</v>
      </c>
      <c r="F125" s="9" t="s">
        <v>851</v>
      </c>
      <c r="G125" s="9" t="s">
        <v>866</v>
      </c>
      <c r="H125" s="9">
        <v>124</v>
      </c>
      <c r="I125" s="10" t="s">
        <v>867</v>
      </c>
      <c r="J125" s="10" t="s">
        <v>60</v>
      </c>
      <c r="K125" s="9">
        <v>0</v>
      </c>
      <c r="L125" s="10" t="s">
        <v>868</v>
      </c>
      <c r="M125" s="9">
        <v>3</v>
      </c>
      <c r="N125" s="9" t="s">
        <v>126</v>
      </c>
      <c r="O125" s="10" t="s">
        <v>869</v>
      </c>
      <c r="P125" s="10" t="s">
        <v>870</v>
      </c>
      <c r="Q125" s="9">
        <v>1</v>
      </c>
      <c r="R125" s="10"/>
      <c r="S125" s="10"/>
      <c r="T125" s="9"/>
      <c r="U125" s="9" t="s">
        <v>871</v>
      </c>
    </row>
    <row r="126" spans="1:21" ht="52.8" x14ac:dyDescent="0.3">
      <c r="A126" s="13" t="s">
        <v>872</v>
      </c>
      <c r="B126" s="14">
        <v>9</v>
      </c>
      <c r="C126" s="9" t="s">
        <v>238</v>
      </c>
      <c r="D126" s="9" t="s">
        <v>239</v>
      </c>
      <c r="E126" s="9" t="s">
        <v>831</v>
      </c>
      <c r="F126" s="9" t="s">
        <v>851</v>
      </c>
      <c r="G126" s="9" t="s">
        <v>873</v>
      </c>
      <c r="H126" s="9">
        <v>125</v>
      </c>
      <c r="I126" s="10" t="s">
        <v>874</v>
      </c>
      <c r="J126" s="10" t="s">
        <v>875</v>
      </c>
      <c r="K126" s="9">
        <v>3</v>
      </c>
      <c r="L126" s="10" t="s">
        <v>876</v>
      </c>
      <c r="M126" s="9">
        <v>4</v>
      </c>
      <c r="N126" s="9" t="s">
        <v>62</v>
      </c>
      <c r="O126" s="10" t="s">
        <v>877</v>
      </c>
      <c r="P126" s="10" t="s">
        <v>878</v>
      </c>
      <c r="Q126" s="9">
        <v>2</v>
      </c>
      <c r="R126" s="10"/>
      <c r="S126" s="10"/>
      <c r="T126" s="9"/>
      <c r="U126" s="9" t="s">
        <v>879</v>
      </c>
    </row>
    <row r="127" spans="1:21" ht="39.6" x14ac:dyDescent="0.3">
      <c r="A127" s="13" t="s">
        <v>880</v>
      </c>
      <c r="B127" s="14">
        <v>9</v>
      </c>
      <c r="C127" s="9" t="s">
        <v>238</v>
      </c>
      <c r="D127" s="9" t="s">
        <v>565</v>
      </c>
      <c r="E127" s="9" t="s">
        <v>881</v>
      </c>
      <c r="F127" s="9" t="s">
        <v>882</v>
      </c>
      <c r="G127" s="9" t="s">
        <v>883</v>
      </c>
      <c r="H127" s="9">
        <v>126</v>
      </c>
      <c r="I127" s="10" t="s">
        <v>884</v>
      </c>
      <c r="J127" s="10" t="s">
        <v>60</v>
      </c>
      <c r="K127" s="9">
        <v>0</v>
      </c>
      <c r="L127" s="10" t="s">
        <v>60</v>
      </c>
      <c r="M127" s="9">
        <v>0</v>
      </c>
      <c r="N127" s="9" t="s">
        <v>87</v>
      </c>
      <c r="O127" s="10" t="s">
        <v>87</v>
      </c>
      <c r="P127" s="10" t="s">
        <v>60</v>
      </c>
      <c r="Q127" s="9">
        <v>0</v>
      </c>
      <c r="R127" s="10"/>
      <c r="S127" s="10"/>
      <c r="T127" s="9"/>
      <c r="U127" s="9"/>
    </row>
    <row r="128" spans="1:21" ht="52.8" x14ac:dyDescent="0.3">
      <c r="A128" s="13" t="s">
        <v>885</v>
      </c>
      <c r="B128" s="14">
        <v>9</v>
      </c>
      <c r="C128" s="9" t="s">
        <v>238</v>
      </c>
      <c r="D128" s="9" t="s">
        <v>565</v>
      </c>
      <c r="E128" s="9" t="s">
        <v>881</v>
      </c>
      <c r="F128" s="9" t="s">
        <v>882</v>
      </c>
      <c r="G128" s="9" t="s">
        <v>886</v>
      </c>
      <c r="H128" s="9">
        <v>127</v>
      </c>
      <c r="I128" s="10" t="s">
        <v>887</v>
      </c>
      <c r="J128" s="10" t="s">
        <v>60</v>
      </c>
      <c r="K128" s="9">
        <v>0</v>
      </c>
      <c r="L128" s="10" t="s">
        <v>60</v>
      </c>
      <c r="M128" s="9">
        <v>0</v>
      </c>
      <c r="N128" s="9" t="s">
        <v>76</v>
      </c>
      <c r="O128" s="10" t="s">
        <v>621</v>
      </c>
      <c r="P128" s="10" t="s">
        <v>60</v>
      </c>
      <c r="Q128" s="9">
        <v>0</v>
      </c>
      <c r="R128" s="10"/>
      <c r="S128" s="10"/>
      <c r="T128" s="9"/>
      <c r="U128" s="9"/>
    </row>
    <row r="129" spans="1:21" ht="52.8" x14ac:dyDescent="0.3">
      <c r="A129" s="13" t="s">
        <v>888</v>
      </c>
      <c r="B129" s="14">
        <v>9</v>
      </c>
      <c r="C129" s="9" t="s">
        <v>238</v>
      </c>
      <c r="D129" s="9" t="s">
        <v>565</v>
      </c>
      <c r="E129" s="9" t="s">
        <v>881</v>
      </c>
      <c r="F129" s="9" t="s">
        <v>882</v>
      </c>
      <c r="G129" s="9" t="s">
        <v>889</v>
      </c>
      <c r="H129" s="9">
        <v>128</v>
      </c>
      <c r="I129" s="10" t="s">
        <v>890</v>
      </c>
      <c r="J129" s="10" t="s">
        <v>891</v>
      </c>
      <c r="K129" s="9">
        <v>1</v>
      </c>
      <c r="L129" s="10" t="s">
        <v>892</v>
      </c>
      <c r="M129" s="9">
        <v>3</v>
      </c>
      <c r="N129" s="9" t="s">
        <v>62</v>
      </c>
      <c r="O129" s="10" t="s">
        <v>893</v>
      </c>
      <c r="P129" s="10" t="s">
        <v>894</v>
      </c>
      <c r="Q129" s="9">
        <v>1</v>
      </c>
      <c r="R129" s="10"/>
      <c r="S129" s="10"/>
      <c r="T129" s="9"/>
      <c r="U129" s="9"/>
    </row>
    <row r="130" spans="1:21" ht="52.8" x14ac:dyDescent="0.3">
      <c r="A130" s="13" t="s">
        <v>895</v>
      </c>
      <c r="B130" s="14">
        <v>9</v>
      </c>
      <c r="C130" s="9" t="s">
        <v>238</v>
      </c>
      <c r="D130" s="9" t="s">
        <v>565</v>
      </c>
      <c r="E130" s="9" t="s">
        <v>881</v>
      </c>
      <c r="F130" s="9" t="s">
        <v>882</v>
      </c>
      <c r="G130" s="9" t="s">
        <v>896</v>
      </c>
      <c r="H130" s="9">
        <v>129</v>
      </c>
      <c r="I130" s="10" t="s">
        <v>897</v>
      </c>
      <c r="J130" s="10" t="s">
        <v>898</v>
      </c>
      <c r="K130" s="9">
        <v>4</v>
      </c>
      <c r="L130" s="10" t="s">
        <v>899</v>
      </c>
      <c r="M130" s="9">
        <v>3</v>
      </c>
      <c r="N130" s="9" t="s">
        <v>62</v>
      </c>
      <c r="O130" s="10" t="s">
        <v>900</v>
      </c>
      <c r="P130" s="10" t="s">
        <v>60</v>
      </c>
      <c r="Q130" s="9">
        <v>0</v>
      </c>
      <c r="R130" s="10"/>
      <c r="S130" s="10"/>
      <c r="T130" s="9"/>
      <c r="U130" s="9"/>
    </row>
    <row r="131" spans="1:21" ht="52.8" x14ac:dyDescent="0.3">
      <c r="A131" s="13" t="s">
        <v>901</v>
      </c>
      <c r="B131" s="14">
        <v>9</v>
      </c>
      <c r="C131" s="9" t="s">
        <v>238</v>
      </c>
      <c r="D131" s="9" t="s">
        <v>565</v>
      </c>
      <c r="E131" s="9" t="s">
        <v>881</v>
      </c>
      <c r="F131" s="9" t="s">
        <v>902</v>
      </c>
      <c r="G131" s="9" t="s">
        <v>903</v>
      </c>
      <c r="H131" s="9">
        <v>130</v>
      </c>
      <c r="I131" s="10" t="s">
        <v>904</v>
      </c>
      <c r="J131" s="10" t="s">
        <v>905</v>
      </c>
      <c r="K131" s="9">
        <v>3</v>
      </c>
      <c r="L131" s="10" t="s">
        <v>906</v>
      </c>
      <c r="M131" s="9">
        <v>4</v>
      </c>
      <c r="N131" s="9" t="s">
        <v>62</v>
      </c>
      <c r="O131" s="10" t="s">
        <v>907</v>
      </c>
      <c r="P131" s="10" t="s">
        <v>908</v>
      </c>
      <c r="Q131" s="9">
        <v>1</v>
      </c>
      <c r="R131" s="10"/>
      <c r="S131" s="10"/>
      <c r="T131" s="9"/>
      <c r="U131" s="9"/>
    </row>
    <row r="132" spans="1:21" ht="52.8" x14ac:dyDescent="0.3">
      <c r="A132" s="13" t="s">
        <v>909</v>
      </c>
      <c r="B132" s="14">
        <v>9</v>
      </c>
      <c r="C132" s="9" t="s">
        <v>238</v>
      </c>
      <c r="D132" s="9" t="s">
        <v>565</v>
      </c>
      <c r="E132" s="9" t="s">
        <v>881</v>
      </c>
      <c r="F132" s="9" t="s">
        <v>902</v>
      </c>
      <c r="G132" s="9" t="s">
        <v>910</v>
      </c>
      <c r="H132" s="9">
        <v>131</v>
      </c>
      <c r="I132" s="10" t="s">
        <v>911</v>
      </c>
      <c r="J132" s="10" t="s">
        <v>60</v>
      </c>
      <c r="K132" s="9">
        <v>0</v>
      </c>
      <c r="L132" s="10" t="s">
        <v>60</v>
      </c>
      <c r="M132" s="9">
        <v>0</v>
      </c>
      <c r="N132" s="9" t="s">
        <v>126</v>
      </c>
      <c r="O132" s="10" t="s">
        <v>912</v>
      </c>
      <c r="P132" s="10" t="s">
        <v>60</v>
      </c>
      <c r="Q132" s="9">
        <v>0</v>
      </c>
      <c r="R132" s="10"/>
      <c r="S132" s="10"/>
      <c r="T132" s="9"/>
      <c r="U132" s="9"/>
    </row>
    <row r="133" spans="1:21" ht="66" x14ac:dyDescent="0.3">
      <c r="A133" s="13" t="s">
        <v>913</v>
      </c>
      <c r="B133" s="14">
        <v>9</v>
      </c>
      <c r="C133" s="9" t="s">
        <v>238</v>
      </c>
      <c r="D133" s="9" t="s">
        <v>565</v>
      </c>
      <c r="E133" s="9" t="s">
        <v>881</v>
      </c>
      <c r="F133" s="9" t="s">
        <v>902</v>
      </c>
      <c r="G133" s="9" t="s">
        <v>914</v>
      </c>
      <c r="H133" s="9">
        <v>132</v>
      </c>
      <c r="I133" s="10" t="s">
        <v>915</v>
      </c>
      <c r="J133" s="10" t="s">
        <v>60</v>
      </c>
      <c r="K133" s="9">
        <v>0</v>
      </c>
      <c r="L133" s="10" t="s">
        <v>60</v>
      </c>
      <c r="M133" s="9">
        <v>0</v>
      </c>
      <c r="N133" s="9" t="s">
        <v>101</v>
      </c>
      <c r="O133" s="10" t="s">
        <v>916</v>
      </c>
      <c r="P133" s="10" t="s">
        <v>917</v>
      </c>
      <c r="Q133" s="9">
        <v>1</v>
      </c>
      <c r="R133" s="10"/>
      <c r="S133" s="10"/>
      <c r="T133" s="9"/>
      <c r="U133" s="9"/>
    </row>
    <row r="134" spans="1:21" ht="52.8" x14ac:dyDescent="0.3">
      <c r="A134" s="13" t="s">
        <v>918</v>
      </c>
      <c r="B134" s="14">
        <v>9</v>
      </c>
      <c r="C134" s="9" t="s">
        <v>238</v>
      </c>
      <c r="D134" s="9" t="s">
        <v>565</v>
      </c>
      <c r="E134" s="9" t="s">
        <v>881</v>
      </c>
      <c r="F134" s="9" t="s">
        <v>919</v>
      </c>
      <c r="G134" s="9" t="s">
        <v>920</v>
      </c>
      <c r="H134" s="9">
        <v>133</v>
      </c>
      <c r="I134" s="10" t="s">
        <v>921</v>
      </c>
      <c r="J134" s="10" t="s">
        <v>922</v>
      </c>
      <c r="K134" s="9">
        <v>3</v>
      </c>
      <c r="L134" s="10" t="s">
        <v>923</v>
      </c>
      <c r="M134" s="9">
        <v>4</v>
      </c>
      <c r="N134" s="9" t="s">
        <v>62</v>
      </c>
      <c r="O134" s="10" t="s">
        <v>924</v>
      </c>
      <c r="P134" s="10" t="s">
        <v>925</v>
      </c>
      <c r="Q134" s="9">
        <v>2</v>
      </c>
      <c r="R134" s="10"/>
      <c r="S134" s="10"/>
      <c r="T134" s="9"/>
      <c r="U134" s="9"/>
    </row>
    <row r="135" spans="1:21" ht="79.2" x14ac:dyDescent="0.3">
      <c r="A135" s="13" t="s">
        <v>926</v>
      </c>
      <c r="B135" s="14">
        <v>9</v>
      </c>
      <c r="C135" s="9" t="s">
        <v>238</v>
      </c>
      <c r="D135" s="9" t="s">
        <v>565</v>
      </c>
      <c r="E135" s="9" t="s">
        <v>881</v>
      </c>
      <c r="F135" s="9" t="s">
        <v>919</v>
      </c>
      <c r="G135" s="9" t="s">
        <v>927</v>
      </c>
      <c r="H135" s="9">
        <v>134</v>
      </c>
      <c r="I135" s="10" t="s">
        <v>928</v>
      </c>
      <c r="J135" s="10" t="s">
        <v>929</v>
      </c>
      <c r="K135" s="9">
        <v>1</v>
      </c>
      <c r="L135" s="10" t="s">
        <v>930</v>
      </c>
      <c r="M135" s="9">
        <v>3</v>
      </c>
      <c r="N135" s="9" t="s">
        <v>62</v>
      </c>
      <c r="O135" s="10" t="s">
        <v>931</v>
      </c>
      <c r="P135" s="10" t="s">
        <v>60</v>
      </c>
      <c r="Q135" s="9">
        <v>0</v>
      </c>
      <c r="R135" s="10"/>
      <c r="S135" s="10"/>
      <c r="T135" s="9"/>
      <c r="U135" s="9"/>
    </row>
    <row r="136" spans="1:21" ht="52.8" x14ac:dyDescent="0.3">
      <c r="A136" s="13" t="s">
        <v>932</v>
      </c>
      <c r="B136" s="14">
        <v>9</v>
      </c>
      <c r="C136" s="9" t="s">
        <v>238</v>
      </c>
      <c r="D136" s="9" t="s">
        <v>565</v>
      </c>
      <c r="E136" s="9" t="s">
        <v>881</v>
      </c>
      <c r="F136" s="9" t="s">
        <v>919</v>
      </c>
      <c r="G136" s="9" t="s">
        <v>933</v>
      </c>
      <c r="H136" s="9">
        <v>135</v>
      </c>
      <c r="I136" s="10" t="s">
        <v>934</v>
      </c>
      <c r="J136" s="10" t="s">
        <v>935</v>
      </c>
      <c r="K136" s="9">
        <v>3</v>
      </c>
      <c r="L136" s="10" t="s">
        <v>936</v>
      </c>
      <c r="M136" s="9">
        <v>4</v>
      </c>
      <c r="N136" s="9" t="s">
        <v>62</v>
      </c>
      <c r="O136" s="10" t="s">
        <v>937</v>
      </c>
      <c r="P136" s="10" t="s">
        <v>938</v>
      </c>
      <c r="Q136" s="9">
        <v>3</v>
      </c>
      <c r="R136" s="10"/>
      <c r="S136" s="10"/>
      <c r="T136" s="9"/>
      <c r="U136" s="9"/>
    </row>
    <row r="137" spans="1:21" ht="66" x14ac:dyDescent="0.3">
      <c r="A137" s="13" t="s">
        <v>939</v>
      </c>
      <c r="B137" s="14">
        <v>9</v>
      </c>
      <c r="C137" s="9" t="s">
        <v>238</v>
      </c>
      <c r="D137" s="9" t="s">
        <v>565</v>
      </c>
      <c r="E137" s="9" t="s">
        <v>881</v>
      </c>
      <c r="F137" s="9" t="s">
        <v>919</v>
      </c>
      <c r="G137" s="9" t="s">
        <v>940</v>
      </c>
      <c r="H137" s="9">
        <v>136</v>
      </c>
      <c r="I137" s="10" t="s">
        <v>941</v>
      </c>
      <c r="J137" s="10" t="s">
        <v>60</v>
      </c>
      <c r="K137" s="9">
        <v>0</v>
      </c>
      <c r="L137" s="10" t="s">
        <v>60</v>
      </c>
      <c r="M137" s="9">
        <v>0</v>
      </c>
      <c r="N137" s="9" t="s">
        <v>62</v>
      </c>
      <c r="O137" s="10" t="s">
        <v>942</v>
      </c>
      <c r="P137" s="10" t="s">
        <v>60</v>
      </c>
      <c r="Q137" s="9">
        <v>0</v>
      </c>
      <c r="R137" s="10" t="s">
        <v>943</v>
      </c>
      <c r="S137" s="10"/>
      <c r="T137" s="9"/>
      <c r="U137" s="9"/>
    </row>
    <row r="138" spans="1:21" ht="92.4" x14ac:dyDescent="0.3">
      <c r="A138" s="13" t="s">
        <v>944</v>
      </c>
      <c r="B138" s="14">
        <v>9</v>
      </c>
      <c r="C138" s="9" t="s">
        <v>238</v>
      </c>
      <c r="D138" s="9" t="s">
        <v>565</v>
      </c>
      <c r="E138" s="9" t="s">
        <v>881</v>
      </c>
      <c r="F138" s="9" t="s">
        <v>945</v>
      </c>
      <c r="G138" s="9" t="s">
        <v>946</v>
      </c>
      <c r="H138" s="9">
        <v>137</v>
      </c>
      <c r="I138" s="10" t="s">
        <v>947</v>
      </c>
      <c r="J138" s="10" t="s">
        <v>60</v>
      </c>
      <c r="K138" s="9">
        <v>0</v>
      </c>
      <c r="L138" s="10" t="s">
        <v>60</v>
      </c>
      <c r="M138" s="9">
        <v>0</v>
      </c>
      <c r="N138" s="9" t="s">
        <v>62</v>
      </c>
      <c r="O138" s="10" t="s">
        <v>948</v>
      </c>
      <c r="P138" s="10" t="s">
        <v>949</v>
      </c>
      <c r="Q138" s="9">
        <v>2</v>
      </c>
      <c r="R138" s="10"/>
      <c r="S138" s="10"/>
      <c r="T138" s="9"/>
      <c r="U138" s="9"/>
    </row>
    <row r="139" spans="1:21" ht="39.6" x14ac:dyDescent="0.3">
      <c r="A139" s="13" t="s">
        <v>950</v>
      </c>
      <c r="B139" s="14">
        <v>9</v>
      </c>
      <c r="C139" s="9" t="s">
        <v>238</v>
      </c>
      <c r="D139" s="9" t="s">
        <v>565</v>
      </c>
      <c r="E139" s="9" t="s">
        <v>881</v>
      </c>
      <c r="F139" s="9" t="s">
        <v>945</v>
      </c>
      <c r="G139" s="9" t="s">
        <v>951</v>
      </c>
      <c r="H139" s="9">
        <v>138</v>
      </c>
      <c r="I139" s="10" t="s">
        <v>952</v>
      </c>
      <c r="J139" s="10" t="s">
        <v>953</v>
      </c>
      <c r="K139" s="9">
        <v>3</v>
      </c>
      <c r="L139" s="10" t="s">
        <v>954</v>
      </c>
      <c r="M139" s="9">
        <v>3</v>
      </c>
      <c r="N139" s="9" t="s">
        <v>62</v>
      </c>
      <c r="O139" s="10" t="s">
        <v>955</v>
      </c>
      <c r="P139" s="10" t="s">
        <v>60</v>
      </c>
      <c r="Q139" s="9">
        <v>0</v>
      </c>
      <c r="R139" s="10"/>
      <c r="S139" s="10"/>
      <c r="T139" s="9"/>
      <c r="U139" s="9"/>
    </row>
    <row r="140" spans="1:21" ht="92.4" x14ac:dyDescent="0.3">
      <c r="A140" s="13" t="s">
        <v>956</v>
      </c>
      <c r="B140" s="14">
        <v>9</v>
      </c>
      <c r="C140" s="9" t="s">
        <v>238</v>
      </c>
      <c r="D140" s="9" t="s">
        <v>565</v>
      </c>
      <c r="E140" s="9" t="s">
        <v>881</v>
      </c>
      <c r="F140" s="9" t="s">
        <v>945</v>
      </c>
      <c r="G140" s="9" t="s">
        <v>957</v>
      </c>
      <c r="H140" s="9">
        <v>139</v>
      </c>
      <c r="I140" s="10" t="s">
        <v>958</v>
      </c>
      <c r="J140" s="10" t="s">
        <v>959</v>
      </c>
      <c r="K140" s="9">
        <v>5</v>
      </c>
      <c r="L140" s="10" t="s">
        <v>960</v>
      </c>
      <c r="M140" s="9">
        <v>6</v>
      </c>
      <c r="N140" s="9" t="s">
        <v>62</v>
      </c>
      <c r="O140" s="10" t="s">
        <v>961</v>
      </c>
      <c r="P140" s="10" t="s">
        <v>962</v>
      </c>
      <c r="Q140" s="9">
        <v>2</v>
      </c>
      <c r="R140" s="10" t="s">
        <v>963</v>
      </c>
      <c r="S140" s="10" t="s">
        <v>964</v>
      </c>
      <c r="T140" s="9"/>
      <c r="U140" s="9" t="s">
        <v>965</v>
      </c>
    </row>
    <row r="141" spans="1:21" ht="52.8" x14ac:dyDescent="0.3">
      <c r="A141" s="13" t="s">
        <v>966</v>
      </c>
      <c r="B141" s="14">
        <v>9</v>
      </c>
      <c r="C141" s="9" t="s">
        <v>238</v>
      </c>
      <c r="D141" s="9" t="s">
        <v>565</v>
      </c>
      <c r="E141" s="9" t="s">
        <v>881</v>
      </c>
      <c r="F141" s="9" t="s">
        <v>945</v>
      </c>
      <c r="G141" s="9" t="s">
        <v>967</v>
      </c>
      <c r="H141" s="9">
        <v>140</v>
      </c>
      <c r="I141" s="10" t="s">
        <v>968</v>
      </c>
      <c r="J141" s="10" t="s">
        <v>60</v>
      </c>
      <c r="K141" s="9">
        <v>0</v>
      </c>
      <c r="L141" s="10" t="s">
        <v>969</v>
      </c>
      <c r="M141" s="9">
        <v>3</v>
      </c>
      <c r="N141" s="9" t="s">
        <v>126</v>
      </c>
      <c r="O141" s="10" t="s">
        <v>970</v>
      </c>
      <c r="P141" s="10" t="s">
        <v>971</v>
      </c>
      <c r="Q141" s="9">
        <v>1</v>
      </c>
      <c r="R141" s="10"/>
      <c r="S141" s="10"/>
      <c r="T141" s="9"/>
      <c r="U141" s="9"/>
    </row>
    <row r="142" spans="1:21" ht="39.6" x14ac:dyDescent="0.3">
      <c r="A142" s="13" t="s">
        <v>972</v>
      </c>
      <c r="B142" s="14">
        <v>9</v>
      </c>
      <c r="C142" s="9" t="s">
        <v>238</v>
      </c>
      <c r="D142" s="9" t="s">
        <v>565</v>
      </c>
      <c r="E142" s="9" t="s">
        <v>881</v>
      </c>
      <c r="F142" s="9" t="s">
        <v>973</v>
      </c>
      <c r="G142" s="9" t="s">
        <v>974</v>
      </c>
      <c r="H142" s="9">
        <v>141</v>
      </c>
      <c r="I142" s="10" t="s">
        <v>975</v>
      </c>
      <c r="J142" s="10" t="s">
        <v>60</v>
      </c>
      <c r="K142" s="9">
        <v>0</v>
      </c>
      <c r="L142" s="10" t="s">
        <v>60</v>
      </c>
      <c r="M142" s="9">
        <v>0</v>
      </c>
      <c r="N142" s="9" t="s">
        <v>87</v>
      </c>
      <c r="O142" s="10" t="s">
        <v>87</v>
      </c>
      <c r="P142" s="10" t="s">
        <v>60</v>
      </c>
      <c r="Q142" s="9">
        <v>0</v>
      </c>
      <c r="R142" s="10"/>
      <c r="S142" s="10"/>
      <c r="T142" s="9"/>
      <c r="U142" s="9"/>
    </row>
    <row r="143" spans="1:21" ht="39.6" x14ac:dyDescent="0.3">
      <c r="A143" s="13" t="s">
        <v>976</v>
      </c>
      <c r="B143" s="14">
        <v>9</v>
      </c>
      <c r="C143" s="9" t="s">
        <v>238</v>
      </c>
      <c r="D143" s="9" t="s">
        <v>565</v>
      </c>
      <c r="E143" s="9" t="s">
        <v>881</v>
      </c>
      <c r="F143" s="9" t="s">
        <v>973</v>
      </c>
      <c r="G143" s="9" t="s">
        <v>977</v>
      </c>
      <c r="H143" s="9">
        <v>142</v>
      </c>
      <c r="I143" s="10" t="s">
        <v>978</v>
      </c>
      <c r="J143" s="10" t="s">
        <v>60</v>
      </c>
      <c r="K143" s="9">
        <v>0</v>
      </c>
      <c r="L143" s="10" t="s">
        <v>60</v>
      </c>
      <c r="M143" s="9">
        <v>0</v>
      </c>
      <c r="N143" s="9" t="s">
        <v>76</v>
      </c>
      <c r="O143" s="10" t="s">
        <v>621</v>
      </c>
      <c r="P143" s="10" t="s">
        <v>60</v>
      </c>
      <c r="Q143" s="9">
        <v>0</v>
      </c>
      <c r="R143" s="10"/>
      <c r="S143" s="10"/>
      <c r="T143" s="9"/>
      <c r="U143" s="9"/>
    </row>
    <row r="144" spans="1:21" ht="52.8" x14ac:dyDescent="0.3">
      <c r="A144" s="13" t="s">
        <v>979</v>
      </c>
      <c r="B144" s="14">
        <v>9</v>
      </c>
      <c r="C144" s="9" t="s">
        <v>238</v>
      </c>
      <c r="D144" s="9" t="s">
        <v>565</v>
      </c>
      <c r="E144" s="9" t="s">
        <v>881</v>
      </c>
      <c r="F144" s="9" t="s">
        <v>973</v>
      </c>
      <c r="G144" s="9" t="s">
        <v>980</v>
      </c>
      <c r="H144" s="9">
        <v>143</v>
      </c>
      <c r="I144" s="10" t="s">
        <v>981</v>
      </c>
      <c r="J144" s="10" t="s">
        <v>60</v>
      </c>
      <c r="K144" s="9">
        <v>0</v>
      </c>
      <c r="L144" s="10" t="s">
        <v>982</v>
      </c>
      <c r="M144" s="9">
        <v>3</v>
      </c>
      <c r="N144" s="9" t="s">
        <v>62</v>
      </c>
      <c r="O144" s="10" t="s">
        <v>983</v>
      </c>
      <c r="P144" s="10" t="s">
        <v>60</v>
      </c>
      <c r="Q144" s="9">
        <v>0</v>
      </c>
      <c r="R144" s="10"/>
      <c r="S144" s="10"/>
      <c r="T144" s="9"/>
      <c r="U144" s="9"/>
    </row>
    <row r="145" spans="1:21" ht="52.8" x14ac:dyDescent="0.3">
      <c r="A145" s="13" t="s">
        <v>984</v>
      </c>
      <c r="B145" s="14">
        <v>9</v>
      </c>
      <c r="C145" s="9" t="s">
        <v>238</v>
      </c>
      <c r="D145" s="9" t="s">
        <v>565</v>
      </c>
      <c r="E145" s="9" t="s">
        <v>881</v>
      </c>
      <c r="F145" s="9" t="s">
        <v>973</v>
      </c>
      <c r="G145" s="9" t="s">
        <v>985</v>
      </c>
      <c r="H145" s="9">
        <v>144</v>
      </c>
      <c r="I145" s="10" t="s">
        <v>986</v>
      </c>
      <c r="J145" s="10" t="s">
        <v>60</v>
      </c>
      <c r="K145" s="9">
        <v>0</v>
      </c>
      <c r="L145" s="10" t="s">
        <v>60</v>
      </c>
      <c r="M145" s="9">
        <v>0</v>
      </c>
      <c r="N145" s="9" t="s">
        <v>126</v>
      </c>
      <c r="O145" s="10" t="s">
        <v>987</v>
      </c>
      <c r="P145" s="10" t="s">
        <v>60</v>
      </c>
      <c r="Q145" s="9">
        <v>0</v>
      </c>
      <c r="R145" s="10"/>
      <c r="S145" s="10"/>
      <c r="T145" s="9"/>
      <c r="U145" s="9"/>
    </row>
    <row r="146" spans="1:21" ht="39.6" x14ac:dyDescent="0.3">
      <c r="A146" s="13" t="s">
        <v>988</v>
      </c>
      <c r="B146" s="14">
        <v>9</v>
      </c>
      <c r="C146" s="9" t="s">
        <v>238</v>
      </c>
      <c r="D146" s="9" t="s">
        <v>565</v>
      </c>
      <c r="E146" s="9" t="s">
        <v>881</v>
      </c>
      <c r="F146" s="9" t="s">
        <v>973</v>
      </c>
      <c r="G146" s="9" t="s">
        <v>989</v>
      </c>
      <c r="H146" s="9">
        <v>145</v>
      </c>
      <c r="I146" s="10" t="s">
        <v>990</v>
      </c>
      <c r="J146" s="10" t="s">
        <v>60</v>
      </c>
      <c r="K146" s="9">
        <v>0</v>
      </c>
      <c r="L146" s="10" t="s">
        <v>60</v>
      </c>
      <c r="M146" s="9">
        <v>0</v>
      </c>
      <c r="N146" s="9" t="s">
        <v>76</v>
      </c>
      <c r="O146" s="10" t="s">
        <v>991</v>
      </c>
      <c r="P146" s="10" t="s">
        <v>60</v>
      </c>
      <c r="Q146" s="9">
        <v>0</v>
      </c>
      <c r="R146" s="10"/>
      <c r="S146" s="10"/>
      <c r="T146" s="9"/>
      <c r="U146" s="9"/>
    </row>
    <row r="147" spans="1:21" ht="79.2" x14ac:dyDescent="0.3">
      <c r="A147" s="13" t="s">
        <v>992</v>
      </c>
      <c r="B147" s="14">
        <v>9</v>
      </c>
      <c r="C147" s="9" t="s">
        <v>238</v>
      </c>
      <c r="D147" s="9" t="s">
        <v>565</v>
      </c>
      <c r="E147" s="9" t="s">
        <v>881</v>
      </c>
      <c r="F147" s="9" t="s">
        <v>973</v>
      </c>
      <c r="G147" s="9" t="s">
        <v>993</v>
      </c>
      <c r="H147" s="9">
        <v>146</v>
      </c>
      <c r="I147" s="10" t="s">
        <v>994</v>
      </c>
      <c r="J147" s="10" t="s">
        <v>995</v>
      </c>
      <c r="K147" s="9">
        <v>4</v>
      </c>
      <c r="L147" s="10" t="s">
        <v>996</v>
      </c>
      <c r="M147" s="9">
        <v>6</v>
      </c>
      <c r="N147" s="9" t="s">
        <v>62</v>
      </c>
      <c r="O147" s="10" t="s">
        <v>997</v>
      </c>
      <c r="P147" s="10" t="s">
        <v>998</v>
      </c>
      <c r="Q147" s="9">
        <v>2</v>
      </c>
      <c r="R147" s="10" t="s">
        <v>999</v>
      </c>
      <c r="S147" s="10"/>
      <c r="T147" s="9"/>
      <c r="U147" s="9" t="s">
        <v>1000</v>
      </c>
    </row>
    <row r="148" spans="1:21" ht="52.8" x14ac:dyDescent="0.3">
      <c r="A148" s="15" t="s">
        <v>1001</v>
      </c>
      <c r="B148" s="16">
        <v>10</v>
      </c>
      <c r="C148" s="9" t="s">
        <v>54</v>
      </c>
      <c r="D148" s="9" t="s">
        <v>381</v>
      </c>
      <c r="E148" s="9" t="s">
        <v>1002</v>
      </c>
      <c r="F148" s="9" t="s">
        <v>1003</v>
      </c>
      <c r="G148" s="9" t="s">
        <v>1004</v>
      </c>
      <c r="H148" s="9">
        <v>147</v>
      </c>
      <c r="I148" s="10" t="s">
        <v>1005</v>
      </c>
      <c r="J148" s="10" t="s">
        <v>1006</v>
      </c>
      <c r="K148" s="9">
        <v>4</v>
      </c>
      <c r="L148" s="10" t="s">
        <v>1007</v>
      </c>
      <c r="M148" s="9">
        <v>3</v>
      </c>
      <c r="N148" s="9" t="s">
        <v>62</v>
      </c>
      <c r="O148" s="10" t="s">
        <v>1008</v>
      </c>
      <c r="P148" s="10" t="s">
        <v>1009</v>
      </c>
      <c r="Q148" s="9">
        <v>1</v>
      </c>
      <c r="R148" s="10"/>
      <c r="S148" s="10"/>
      <c r="T148" s="9"/>
      <c r="U148" s="9"/>
    </row>
    <row r="149" spans="1:21" ht="52.8" x14ac:dyDescent="0.3">
      <c r="A149" s="15" t="s">
        <v>404</v>
      </c>
      <c r="B149" s="16">
        <v>10</v>
      </c>
      <c r="C149" s="9" t="s">
        <v>54</v>
      </c>
      <c r="D149" s="9" t="s">
        <v>381</v>
      </c>
      <c r="E149" s="9" t="s">
        <v>1002</v>
      </c>
      <c r="F149" s="9" t="s">
        <v>1003</v>
      </c>
      <c r="G149" s="9" t="s">
        <v>1010</v>
      </c>
      <c r="H149" s="9">
        <v>148</v>
      </c>
      <c r="I149" s="10" t="s">
        <v>1011</v>
      </c>
      <c r="J149" s="10" t="s">
        <v>1012</v>
      </c>
      <c r="K149" s="9">
        <v>2</v>
      </c>
      <c r="L149" s="10" t="s">
        <v>1013</v>
      </c>
      <c r="M149" s="9">
        <v>4</v>
      </c>
      <c r="N149" s="9" t="s">
        <v>62</v>
      </c>
      <c r="O149" s="10" t="s">
        <v>607</v>
      </c>
      <c r="P149" s="10" t="s">
        <v>60</v>
      </c>
      <c r="Q149" s="9">
        <v>0</v>
      </c>
      <c r="R149" s="10"/>
      <c r="S149" s="10"/>
      <c r="T149" s="9" t="s">
        <v>397</v>
      </c>
      <c r="U149" s="9"/>
    </row>
    <row r="150" spans="1:21" ht="92.4" x14ac:dyDescent="0.3">
      <c r="A150" s="15" t="s">
        <v>421</v>
      </c>
      <c r="B150" s="16">
        <v>10</v>
      </c>
      <c r="C150" s="9" t="s">
        <v>54</v>
      </c>
      <c r="D150" s="9" t="s">
        <v>381</v>
      </c>
      <c r="E150" s="9" t="s">
        <v>1002</v>
      </c>
      <c r="F150" s="9" t="s">
        <v>1003</v>
      </c>
      <c r="G150" s="9" t="s">
        <v>1014</v>
      </c>
      <c r="H150" s="9">
        <v>149</v>
      </c>
      <c r="I150" s="10" t="s">
        <v>1015</v>
      </c>
      <c r="J150" s="10" t="s">
        <v>1016</v>
      </c>
      <c r="K150" s="9">
        <v>4</v>
      </c>
      <c r="L150" s="10" t="s">
        <v>1017</v>
      </c>
      <c r="M150" s="9">
        <v>4</v>
      </c>
      <c r="N150" s="9" t="s">
        <v>62</v>
      </c>
      <c r="O150" s="10" t="s">
        <v>1018</v>
      </c>
      <c r="P150" s="10" t="s">
        <v>1019</v>
      </c>
      <c r="Q150" s="9">
        <v>2</v>
      </c>
      <c r="R150" s="10"/>
      <c r="S150" s="10"/>
      <c r="T150" s="9" t="s">
        <v>1020</v>
      </c>
      <c r="U150" s="9"/>
    </row>
    <row r="151" spans="1:21" ht="92.4" x14ac:dyDescent="0.3">
      <c r="A151" s="15" t="s">
        <v>429</v>
      </c>
      <c r="B151" s="16">
        <v>10</v>
      </c>
      <c r="C151" s="9" t="s">
        <v>54</v>
      </c>
      <c r="D151" s="9" t="s">
        <v>381</v>
      </c>
      <c r="E151" s="9" t="s">
        <v>1002</v>
      </c>
      <c r="F151" s="9" t="s">
        <v>1003</v>
      </c>
      <c r="G151" s="9" t="s">
        <v>1021</v>
      </c>
      <c r="H151" s="9">
        <v>150</v>
      </c>
      <c r="I151" s="10" t="s">
        <v>1022</v>
      </c>
      <c r="J151" s="10" t="s">
        <v>1023</v>
      </c>
      <c r="K151" s="9">
        <v>5</v>
      </c>
      <c r="L151" s="10" t="s">
        <v>1024</v>
      </c>
      <c r="M151" s="9">
        <v>6</v>
      </c>
      <c r="N151" s="9" t="s">
        <v>62</v>
      </c>
      <c r="O151" s="10" t="s">
        <v>1025</v>
      </c>
      <c r="P151" s="10" t="s">
        <v>1026</v>
      </c>
      <c r="Q151" s="9">
        <v>3</v>
      </c>
      <c r="R151" s="10"/>
      <c r="S151" s="10"/>
      <c r="T151" s="9" t="s">
        <v>422</v>
      </c>
      <c r="U151" s="9"/>
    </row>
    <row r="152" spans="1:21" ht="52.8" x14ac:dyDescent="0.3">
      <c r="A152" s="15" t="s">
        <v>1027</v>
      </c>
      <c r="B152" s="16">
        <v>10</v>
      </c>
      <c r="C152" s="9" t="s">
        <v>54</v>
      </c>
      <c r="D152" s="9" t="s">
        <v>381</v>
      </c>
      <c r="E152" s="9" t="s">
        <v>1002</v>
      </c>
      <c r="F152" s="9" t="s">
        <v>1028</v>
      </c>
      <c r="G152" s="9" t="s">
        <v>1029</v>
      </c>
      <c r="H152" s="9">
        <v>151</v>
      </c>
      <c r="I152" s="10" t="s">
        <v>1030</v>
      </c>
      <c r="J152" s="10" t="s">
        <v>60</v>
      </c>
      <c r="K152" s="9">
        <v>0</v>
      </c>
      <c r="L152" s="10" t="s">
        <v>60</v>
      </c>
      <c r="M152" s="9">
        <v>0</v>
      </c>
      <c r="N152" s="9" t="s">
        <v>76</v>
      </c>
      <c r="O152" s="10" t="s">
        <v>621</v>
      </c>
      <c r="P152" s="10" t="s">
        <v>60</v>
      </c>
      <c r="Q152" s="9">
        <v>0</v>
      </c>
      <c r="R152" s="10"/>
      <c r="S152" s="10"/>
      <c r="T152" s="9"/>
      <c r="U152" s="9"/>
    </row>
    <row r="153" spans="1:21" ht="52.8" x14ac:dyDescent="0.3">
      <c r="A153" s="15" t="s">
        <v>1031</v>
      </c>
      <c r="B153" s="16">
        <v>10</v>
      </c>
      <c r="C153" s="9" t="s">
        <v>54</v>
      </c>
      <c r="D153" s="9" t="s">
        <v>381</v>
      </c>
      <c r="E153" s="9" t="s">
        <v>1002</v>
      </c>
      <c r="F153" s="9" t="s">
        <v>1028</v>
      </c>
      <c r="G153" s="9" t="s">
        <v>1032</v>
      </c>
      <c r="H153" s="9">
        <v>152</v>
      </c>
      <c r="I153" s="10" t="s">
        <v>1033</v>
      </c>
      <c r="J153" s="10" t="s">
        <v>60</v>
      </c>
      <c r="K153" s="9">
        <v>0</v>
      </c>
      <c r="L153" s="10" t="s">
        <v>1034</v>
      </c>
      <c r="M153" s="9">
        <v>2</v>
      </c>
      <c r="N153" s="9" t="s">
        <v>62</v>
      </c>
      <c r="O153" s="10" t="s">
        <v>1035</v>
      </c>
      <c r="P153" s="10" t="s">
        <v>1036</v>
      </c>
      <c r="Q153" s="9">
        <v>2</v>
      </c>
      <c r="R153" s="10"/>
      <c r="S153" s="10"/>
      <c r="T153" s="9"/>
      <c r="U153" s="9"/>
    </row>
    <row r="154" spans="1:21" ht="52.8" x14ac:dyDescent="0.3">
      <c r="A154" s="15" t="s">
        <v>496</v>
      </c>
      <c r="B154" s="16">
        <v>10</v>
      </c>
      <c r="C154" s="9" t="s">
        <v>54</v>
      </c>
      <c r="D154" s="9" t="s">
        <v>381</v>
      </c>
      <c r="E154" s="9" t="s">
        <v>1002</v>
      </c>
      <c r="F154" s="9" t="s">
        <v>1028</v>
      </c>
      <c r="G154" s="9" t="s">
        <v>1037</v>
      </c>
      <c r="H154" s="9">
        <v>153</v>
      </c>
      <c r="I154" s="10" t="s">
        <v>1038</v>
      </c>
      <c r="J154" s="10" t="s">
        <v>60</v>
      </c>
      <c r="K154" s="9">
        <v>0</v>
      </c>
      <c r="L154" s="10" t="s">
        <v>60</v>
      </c>
      <c r="M154" s="9">
        <v>0</v>
      </c>
      <c r="N154" s="9" t="s">
        <v>62</v>
      </c>
      <c r="O154" s="10" t="s">
        <v>607</v>
      </c>
      <c r="P154" s="10" t="s">
        <v>60</v>
      </c>
      <c r="Q154" s="9">
        <v>0</v>
      </c>
      <c r="R154" s="10"/>
      <c r="S154" s="10"/>
      <c r="T154" s="9" t="s">
        <v>489</v>
      </c>
      <c r="U154" s="9"/>
    </row>
    <row r="155" spans="1:21" ht="52.8" x14ac:dyDescent="0.3">
      <c r="A155" s="15" t="s">
        <v>1039</v>
      </c>
      <c r="B155" s="16">
        <v>10</v>
      </c>
      <c r="C155" s="9" t="s">
        <v>54</v>
      </c>
      <c r="D155" s="9" t="s">
        <v>381</v>
      </c>
      <c r="E155" s="9" t="s">
        <v>1002</v>
      </c>
      <c r="F155" s="9" t="s">
        <v>1028</v>
      </c>
      <c r="G155" s="9" t="s">
        <v>1040</v>
      </c>
      <c r="H155" s="9">
        <v>154</v>
      </c>
      <c r="I155" s="10" t="s">
        <v>1041</v>
      </c>
      <c r="J155" s="10" t="s">
        <v>1042</v>
      </c>
      <c r="K155" s="9">
        <v>4</v>
      </c>
      <c r="L155" s="10" t="s">
        <v>1043</v>
      </c>
      <c r="M155" s="9">
        <v>4</v>
      </c>
      <c r="N155" s="9" t="s">
        <v>126</v>
      </c>
      <c r="O155" s="10" t="s">
        <v>538</v>
      </c>
      <c r="P155" s="10" t="s">
        <v>60</v>
      </c>
      <c r="Q155" s="9">
        <v>0</v>
      </c>
      <c r="R155" s="10"/>
      <c r="S155" s="10"/>
      <c r="T155" s="9" t="s">
        <v>466</v>
      </c>
      <c r="U155" s="9" t="s">
        <v>1044</v>
      </c>
    </row>
    <row r="156" spans="1:21" ht="105.6" x14ac:dyDescent="0.3">
      <c r="A156" s="15" t="s">
        <v>504</v>
      </c>
      <c r="B156" s="16">
        <v>10</v>
      </c>
      <c r="C156" s="9" t="s">
        <v>54</v>
      </c>
      <c r="D156" s="9" t="s">
        <v>381</v>
      </c>
      <c r="E156" s="9" t="s">
        <v>1002</v>
      </c>
      <c r="F156" s="9" t="s">
        <v>1028</v>
      </c>
      <c r="G156" s="9" t="s">
        <v>498</v>
      </c>
      <c r="H156" s="9">
        <v>155</v>
      </c>
      <c r="I156" s="10" t="s">
        <v>1045</v>
      </c>
      <c r="J156" s="10" t="s">
        <v>1046</v>
      </c>
      <c r="K156" s="9">
        <v>6</v>
      </c>
      <c r="L156" s="10" t="s">
        <v>1047</v>
      </c>
      <c r="M156" s="9">
        <v>6</v>
      </c>
      <c r="N156" s="9" t="s">
        <v>62</v>
      </c>
      <c r="O156" s="10" t="s">
        <v>1048</v>
      </c>
      <c r="P156" s="10" t="s">
        <v>1049</v>
      </c>
      <c r="Q156" s="9">
        <v>3</v>
      </c>
      <c r="R156" s="10"/>
      <c r="S156" s="10"/>
      <c r="T156" s="9" t="s">
        <v>497</v>
      </c>
      <c r="U156" s="9"/>
    </row>
    <row r="157" spans="1:21" ht="92.4" x14ac:dyDescent="0.3">
      <c r="A157" s="15" t="s">
        <v>1050</v>
      </c>
      <c r="B157" s="16">
        <v>10</v>
      </c>
      <c r="C157" s="9" t="s">
        <v>54</v>
      </c>
      <c r="D157" s="9" t="s">
        <v>381</v>
      </c>
      <c r="E157" s="9" t="s">
        <v>1002</v>
      </c>
      <c r="F157" s="9" t="s">
        <v>1028</v>
      </c>
      <c r="G157" s="9" t="s">
        <v>1051</v>
      </c>
      <c r="H157" s="9">
        <v>156</v>
      </c>
      <c r="I157" s="10" t="s">
        <v>1052</v>
      </c>
      <c r="J157" s="10" t="s">
        <v>1053</v>
      </c>
      <c r="K157" s="9">
        <v>5</v>
      </c>
      <c r="L157" s="10" t="s">
        <v>1054</v>
      </c>
      <c r="M157" s="9">
        <v>6</v>
      </c>
      <c r="N157" s="9" t="s">
        <v>62</v>
      </c>
      <c r="O157" s="10" t="s">
        <v>1055</v>
      </c>
      <c r="P157" s="10" t="s">
        <v>1056</v>
      </c>
      <c r="Q157" s="9">
        <v>3</v>
      </c>
      <c r="R157" s="10" t="s">
        <v>1057</v>
      </c>
      <c r="S157" s="10"/>
      <c r="T157" s="9"/>
      <c r="U157" s="9"/>
    </row>
    <row r="158" spans="1:21" ht="52.8" x14ac:dyDescent="0.3">
      <c r="A158" s="15" t="s">
        <v>512</v>
      </c>
      <c r="B158" s="16">
        <v>10</v>
      </c>
      <c r="C158" s="9" t="s">
        <v>54</v>
      </c>
      <c r="D158" s="9" t="s">
        <v>381</v>
      </c>
      <c r="E158" s="9" t="s">
        <v>1002</v>
      </c>
      <c r="F158" s="9" t="s">
        <v>1028</v>
      </c>
      <c r="G158" s="9" t="s">
        <v>506</v>
      </c>
      <c r="H158" s="9">
        <v>157</v>
      </c>
      <c r="I158" s="10" t="s">
        <v>1058</v>
      </c>
      <c r="J158" s="10" t="s">
        <v>60</v>
      </c>
      <c r="K158" s="9">
        <v>0</v>
      </c>
      <c r="L158" s="10" t="s">
        <v>60</v>
      </c>
      <c r="M158" s="9">
        <v>0</v>
      </c>
      <c r="N158" s="9" t="s">
        <v>62</v>
      </c>
      <c r="O158" s="10" t="s">
        <v>607</v>
      </c>
      <c r="P158" s="10" t="s">
        <v>60</v>
      </c>
      <c r="Q158" s="9">
        <v>0</v>
      </c>
      <c r="R158" s="10"/>
      <c r="S158" s="10"/>
      <c r="T158" s="9" t="s">
        <v>505</v>
      </c>
      <c r="U158" s="9"/>
    </row>
    <row r="159" spans="1:21" ht="92.4" x14ac:dyDescent="0.3">
      <c r="A159" s="15" t="s">
        <v>525</v>
      </c>
      <c r="B159" s="16">
        <v>10</v>
      </c>
      <c r="C159" s="9" t="s">
        <v>54</v>
      </c>
      <c r="D159" s="9" t="s">
        <v>381</v>
      </c>
      <c r="E159" s="9" t="s">
        <v>1002</v>
      </c>
      <c r="F159" s="9" t="s">
        <v>1059</v>
      </c>
      <c r="G159" s="9" t="s">
        <v>1060</v>
      </c>
      <c r="H159" s="9">
        <v>158</v>
      </c>
      <c r="I159" s="10" t="s">
        <v>1061</v>
      </c>
      <c r="J159" s="10" t="s">
        <v>1062</v>
      </c>
      <c r="K159" s="9">
        <v>6</v>
      </c>
      <c r="L159" s="10" t="s">
        <v>1063</v>
      </c>
      <c r="M159" s="9">
        <v>4</v>
      </c>
      <c r="N159" s="9" t="s">
        <v>62</v>
      </c>
      <c r="O159" s="10" t="s">
        <v>1064</v>
      </c>
      <c r="P159" s="10" t="s">
        <v>1065</v>
      </c>
      <c r="Q159" s="9">
        <v>2</v>
      </c>
      <c r="R159" s="10"/>
      <c r="S159" s="10"/>
      <c r="T159" s="9" t="s">
        <v>518</v>
      </c>
      <c r="U159" s="9"/>
    </row>
    <row r="160" spans="1:21" ht="52.8" x14ac:dyDescent="0.3">
      <c r="A160" s="15" t="s">
        <v>547</v>
      </c>
      <c r="B160" s="16">
        <v>10</v>
      </c>
      <c r="C160" s="9" t="s">
        <v>54</v>
      </c>
      <c r="D160" s="9" t="s">
        <v>381</v>
      </c>
      <c r="E160" s="9" t="s">
        <v>1002</v>
      </c>
      <c r="F160" s="9" t="s">
        <v>1059</v>
      </c>
      <c r="G160" s="9" t="s">
        <v>1066</v>
      </c>
      <c r="H160" s="9">
        <v>159</v>
      </c>
      <c r="I160" s="10" t="s">
        <v>1067</v>
      </c>
      <c r="J160" s="10" t="s">
        <v>1068</v>
      </c>
      <c r="K160" s="9">
        <v>3</v>
      </c>
      <c r="L160" s="10" t="s">
        <v>1069</v>
      </c>
      <c r="M160" s="9">
        <v>4</v>
      </c>
      <c r="N160" s="9" t="s">
        <v>62</v>
      </c>
      <c r="O160" s="10" t="s">
        <v>1070</v>
      </c>
      <c r="P160" s="10" t="s">
        <v>60</v>
      </c>
      <c r="Q160" s="9">
        <v>0</v>
      </c>
      <c r="R160" s="10"/>
      <c r="S160" s="10"/>
      <c r="T160" s="9" t="s">
        <v>539</v>
      </c>
      <c r="U160" s="9"/>
    </row>
    <row r="161" spans="1:21" ht="79.2" x14ac:dyDescent="0.3">
      <c r="A161" s="15" t="s">
        <v>555</v>
      </c>
      <c r="B161" s="16">
        <v>10</v>
      </c>
      <c r="C161" s="9" t="s">
        <v>54</v>
      </c>
      <c r="D161" s="9" t="s">
        <v>381</v>
      </c>
      <c r="E161" s="9" t="s">
        <v>1002</v>
      </c>
      <c r="F161" s="9" t="s">
        <v>1059</v>
      </c>
      <c r="G161" s="9" t="s">
        <v>549</v>
      </c>
      <c r="H161" s="9">
        <v>160</v>
      </c>
      <c r="I161" s="10" t="s">
        <v>1071</v>
      </c>
      <c r="J161" s="10" t="s">
        <v>1072</v>
      </c>
      <c r="K161" s="9">
        <v>4</v>
      </c>
      <c r="L161" s="10" t="s">
        <v>1073</v>
      </c>
      <c r="M161" s="9">
        <v>5</v>
      </c>
      <c r="N161" s="9" t="s">
        <v>62</v>
      </c>
      <c r="O161" s="10" t="s">
        <v>1074</v>
      </c>
      <c r="P161" s="10" t="s">
        <v>1075</v>
      </c>
      <c r="Q161" s="9">
        <v>2</v>
      </c>
      <c r="R161" s="10"/>
      <c r="S161" s="10"/>
      <c r="T161" s="9" t="s">
        <v>556</v>
      </c>
      <c r="U161" s="9"/>
    </row>
    <row r="162" spans="1:21" ht="92.4" x14ac:dyDescent="0.3">
      <c r="A162" s="15" t="s">
        <v>533</v>
      </c>
      <c r="B162" s="16">
        <v>10</v>
      </c>
      <c r="C162" s="9" t="s">
        <v>54</v>
      </c>
      <c r="D162" s="9" t="s">
        <v>381</v>
      </c>
      <c r="E162" s="9" t="s">
        <v>1002</v>
      </c>
      <c r="F162" s="9" t="s">
        <v>1059</v>
      </c>
      <c r="G162" s="9" t="s">
        <v>1076</v>
      </c>
      <c r="H162" s="9">
        <v>161</v>
      </c>
      <c r="I162" s="10" t="s">
        <v>1077</v>
      </c>
      <c r="J162" s="10" t="s">
        <v>1078</v>
      </c>
      <c r="K162" s="9">
        <v>6</v>
      </c>
      <c r="L162" s="10" t="s">
        <v>1079</v>
      </c>
      <c r="M162" s="9">
        <v>5</v>
      </c>
      <c r="N162" s="9" t="s">
        <v>62</v>
      </c>
      <c r="O162" s="10" t="s">
        <v>1080</v>
      </c>
      <c r="P162" s="10" t="s">
        <v>1081</v>
      </c>
      <c r="Q162" s="9">
        <v>2</v>
      </c>
      <c r="R162" s="10" t="s">
        <v>1082</v>
      </c>
      <c r="S162" s="10"/>
      <c r="T162" s="9" t="s">
        <v>526</v>
      </c>
      <c r="U162" s="9"/>
    </row>
    <row r="163" spans="1:21" ht="52.8" x14ac:dyDescent="0.3">
      <c r="A163" s="15" t="s">
        <v>368</v>
      </c>
      <c r="B163" s="16">
        <v>10</v>
      </c>
      <c r="C163" s="9" t="s">
        <v>54</v>
      </c>
      <c r="D163" s="9" t="s">
        <v>381</v>
      </c>
      <c r="E163" s="9" t="s">
        <v>1002</v>
      </c>
      <c r="F163" s="9" t="s">
        <v>1083</v>
      </c>
      <c r="G163" s="9" t="s">
        <v>1084</v>
      </c>
      <c r="H163" s="9">
        <v>162</v>
      </c>
      <c r="I163" s="10" t="s">
        <v>1085</v>
      </c>
      <c r="J163" s="10" t="s">
        <v>60</v>
      </c>
      <c r="K163" s="9">
        <v>0</v>
      </c>
      <c r="L163" s="10" t="s">
        <v>60</v>
      </c>
      <c r="M163" s="9">
        <v>0</v>
      </c>
      <c r="N163" s="9" t="s">
        <v>62</v>
      </c>
      <c r="O163" s="10" t="s">
        <v>607</v>
      </c>
      <c r="P163" s="10" t="s">
        <v>60</v>
      </c>
      <c r="Q163" s="9">
        <v>0</v>
      </c>
      <c r="R163" s="10"/>
      <c r="S163" s="10"/>
      <c r="T163" s="9" t="s">
        <v>360</v>
      </c>
      <c r="U163" s="9"/>
    </row>
    <row r="164" spans="1:21" ht="118.8" x14ac:dyDescent="0.3">
      <c r="A164" s="15" t="s">
        <v>571</v>
      </c>
      <c r="B164" s="16">
        <v>10</v>
      </c>
      <c r="C164" s="9" t="s">
        <v>54</v>
      </c>
      <c r="D164" s="9" t="s">
        <v>381</v>
      </c>
      <c r="E164" s="9" t="s">
        <v>1002</v>
      </c>
      <c r="F164" s="9" t="s">
        <v>1083</v>
      </c>
      <c r="G164" s="9" t="s">
        <v>1086</v>
      </c>
      <c r="H164" s="9">
        <v>163</v>
      </c>
      <c r="I164" s="10" t="s">
        <v>1087</v>
      </c>
      <c r="J164" s="10" t="s">
        <v>1088</v>
      </c>
      <c r="K164" s="9">
        <v>9</v>
      </c>
      <c r="L164" s="10" t="s">
        <v>1089</v>
      </c>
      <c r="M164" s="9">
        <v>8</v>
      </c>
      <c r="N164" s="9" t="s">
        <v>62</v>
      </c>
      <c r="O164" s="10" t="s">
        <v>1090</v>
      </c>
      <c r="P164" s="10" t="s">
        <v>1091</v>
      </c>
      <c r="Q164" s="9">
        <v>3</v>
      </c>
      <c r="R164" s="10" t="s">
        <v>1092</v>
      </c>
      <c r="S164" s="10" t="s">
        <v>1093</v>
      </c>
      <c r="T164" s="9" t="s">
        <v>1094</v>
      </c>
      <c r="U164" s="9"/>
    </row>
    <row r="165" spans="1:21" ht="52.8" x14ac:dyDescent="0.3">
      <c r="A165" s="15" t="s">
        <v>104</v>
      </c>
      <c r="B165" s="16">
        <v>10</v>
      </c>
      <c r="C165" s="9" t="s">
        <v>54</v>
      </c>
      <c r="D165" s="9" t="s">
        <v>175</v>
      </c>
      <c r="E165" s="9" t="s">
        <v>1095</v>
      </c>
      <c r="F165" s="9" t="s">
        <v>1096</v>
      </c>
      <c r="G165" s="9" t="s">
        <v>1097</v>
      </c>
      <c r="H165" s="9">
        <v>164</v>
      </c>
      <c r="I165" s="10" t="s">
        <v>1098</v>
      </c>
      <c r="J165" s="10" t="s">
        <v>60</v>
      </c>
      <c r="K165" s="9">
        <v>0</v>
      </c>
      <c r="L165" s="10" t="s">
        <v>60</v>
      </c>
      <c r="M165" s="9">
        <v>0</v>
      </c>
      <c r="N165" s="9" t="s">
        <v>62</v>
      </c>
      <c r="O165" s="10" t="s">
        <v>607</v>
      </c>
      <c r="P165" s="10" t="s">
        <v>1099</v>
      </c>
      <c r="Q165" s="9">
        <v>1</v>
      </c>
      <c r="R165" s="10"/>
      <c r="S165" s="10"/>
      <c r="T165" s="9" t="s">
        <v>97</v>
      </c>
      <c r="U165" s="9"/>
    </row>
    <row r="166" spans="1:21" ht="52.8" x14ac:dyDescent="0.3">
      <c r="A166" s="15" t="s">
        <v>96</v>
      </c>
      <c r="B166" s="16">
        <v>10</v>
      </c>
      <c r="C166" s="9" t="s">
        <v>54</v>
      </c>
      <c r="D166" s="9" t="s">
        <v>175</v>
      </c>
      <c r="E166" s="9" t="s">
        <v>1095</v>
      </c>
      <c r="F166" s="9" t="s">
        <v>1096</v>
      </c>
      <c r="G166" s="9" t="s">
        <v>1100</v>
      </c>
      <c r="H166" s="9">
        <v>165</v>
      </c>
      <c r="I166" s="10" t="s">
        <v>1101</v>
      </c>
      <c r="J166" s="10" t="s">
        <v>1102</v>
      </c>
      <c r="K166" s="9">
        <v>4</v>
      </c>
      <c r="L166" s="10" t="s">
        <v>1103</v>
      </c>
      <c r="M166" s="9">
        <v>4</v>
      </c>
      <c r="N166" s="9" t="s">
        <v>62</v>
      </c>
      <c r="O166" s="10" t="s">
        <v>607</v>
      </c>
      <c r="P166" s="10" t="s">
        <v>60</v>
      </c>
      <c r="Q166" s="9">
        <v>0</v>
      </c>
      <c r="R166" s="10"/>
      <c r="S166" s="10"/>
      <c r="T166" s="9" t="s">
        <v>89</v>
      </c>
      <c r="U166" s="9"/>
    </row>
    <row r="167" spans="1:21" ht="92.4" x14ac:dyDescent="0.3">
      <c r="A167" s="15" t="s">
        <v>811</v>
      </c>
      <c r="B167" s="16">
        <v>10</v>
      </c>
      <c r="C167" s="9" t="s">
        <v>54</v>
      </c>
      <c r="D167" s="9" t="s">
        <v>175</v>
      </c>
      <c r="E167" s="9" t="s">
        <v>1095</v>
      </c>
      <c r="F167" s="9" t="s">
        <v>1104</v>
      </c>
      <c r="G167" s="9" t="s">
        <v>1105</v>
      </c>
      <c r="H167" s="9">
        <v>166</v>
      </c>
      <c r="I167" s="10" t="s">
        <v>1106</v>
      </c>
      <c r="J167" s="10" t="s">
        <v>1107</v>
      </c>
      <c r="K167" s="9">
        <v>5</v>
      </c>
      <c r="L167" s="10" t="s">
        <v>1108</v>
      </c>
      <c r="M167" s="9">
        <v>6</v>
      </c>
      <c r="N167" s="9" t="s">
        <v>62</v>
      </c>
      <c r="O167" s="10" t="s">
        <v>1109</v>
      </c>
      <c r="P167" s="10" t="s">
        <v>1110</v>
      </c>
      <c r="Q167" s="9">
        <v>3</v>
      </c>
      <c r="R167" s="10"/>
      <c r="S167" s="10"/>
      <c r="T167" s="9" t="s">
        <v>1111</v>
      </c>
      <c r="U167" s="9"/>
    </row>
    <row r="168" spans="1:21" ht="105.6" x14ac:dyDescent="0.3">
      <c r="A168" s="15" t="s">
        <v>1112</v>
      </c>
      <c r="B168" s="16">
        <v>10</v>
      </c>
      <c r="C168" s="9" t="s">
        <v>54</v>
      </c>
      <c r="D168" s="9" t="s">
        <v>175</v>
      </c>
      <c r="E168" s="9" t="s">
        <v>1095</v>
      </c>
      <c r="F168" s="9" t="s">
        <v>1104</v>
      </c>
      <c r="G168" s="9" t="s">
        <v>1113</v>
      </c>
      <c r="H168" s="9">
        <v>167</v>
      </c>
      <c r="I168" s="10" t="s">
        <v>1114</v>
      </c>
      <c r="J168" s="10" t="s">
        <v>1115</v>
      </c>
      <c r="K168" s="9">
        <v>4</v>
      </c>
      <c r="L168" s="10" t="s">
        <v>1116</v>
      </c>
      <c r="M168" s="9">
        <v>6</v>
      </c>
      <c r="N168" s="9" t="s">
        <v>62</v>
      </c>
      <c r="O168" s="10" t="s">
        <v>1117</v>
      </c>
      <c r="P168" s="10" t="s">
        <v>1118</v>
      </c>
      <c r="Q168" s="9">
        <v>3</v>
      </c>
      <c r="R168" s="10" t="s">
        <v>1119</v>
      </c>
      <c r="S168" s="10" t="s">
        <v>1120</v>
      </c>
      <c r="T168" s="9"/>
      <c r="U168" s="9"/>
    </row>
    <row r="169" spans="1:21" ht="66" x14ac:dyDescent="0.3">
      <c r="A169" s="15" t="s">
        <v>1121</v>
      </c>
      <c r="B169" s="16">
        <v>10</v>
      </c>
      <c r="C169" s="9" t="s">
        <v>238</v>
      </c>
      <c r="D169" s="9" t="s">
        <v>565</v>
      </c>
      <c r="E169" s="9" t="s">
        <v>1122</v>
      </c>
      <c r="F169" s="9" t="s">
        <v>1123</v>
      </c>
      <c r="G169" s="9" t="s">
        <v>1124</v>
      </c>
      <c r="H169" s="9">
        <v>168</v>
      </c>
      <c r="I169" s="10" t="s">
        <v>1125</v>
      </c>
      <c r="J169" s="10" t="s">
        <v>1126</v>
      </c>
      <c r="K169" s="9">
        <v>2</v>
      </c>
      <c r="L169" s="10" t="s">
        <v>1127</v>
      </c>
      <c r="M169" s="9">
        <v>3</v>
      </c>
      <c r="N169" s="9" t="s">
        <v>62</v>
      </c>
      <c r="O169" s="10" t="s">
        <v>1128</v>
      </c>
      <c r="P169" s="10" t="s">
        <v>60</v>
      </c>
      <c r="Q169" s="9">
        <v>0</v>
      </c>
      <c r="R169" s="10"/>
      <c r="S169" s="10"/>
      <c r="T169" s="9" t="s">
        <v>174</v>
      </c>
      <c r="U169" s="9" t="s">
        <v>1129</v>
      </c>
    </row>
    <row r="170" spans="1:21" ht="39.6" x14ac:dyDescent="0.3">
      <c r="A170" s="15" t="s">
        <v>1130</v>
      </c>
      <c r="B170" s="16">
        <v>10</v>
      </c>
      <c r="C170" s="9" t="s">
        <v>238</v>
      </c>
      <c r="D170" s="9" t="s">
        <v>565</v>
      </c>
      <c r="E170" s="9" t="s">
        <v>1122</v>
      </c>
      <c r="F170" s="9" t="s">
        <v>1123</v>
      </c>
      <c r="G170" s="9" t="s">
        <v>1131</v>
      </c>
      <c r="H170" s="9">
        <v>169</v>
      </c>
      <c r="I170" s="10" t="s">
        <v>1132</v>
      </c>
      <c r="J170" s="10" t="s">
        <v>60</v>
      </c>
      <c r="K170" s="9">
        <v>0</v>
      </c>
      <c r="L170" s="10" t="s">
        <v>60</v>
      </c>
      <c r="M170" s="9">
        <v>0</v>
      </c>
      <c r="N170" s="9" t="s">
        <v>62</v>
      </c>
      <c r="O170" s="10" t="s">
        <v>607</v>
      </c>
      <c r="P170" s="10" t="s">
        <v>60</v>
      </c>
      <c r="Q170" s="9">
        <v>0</v>
      </c>
      <c r="R170" s="10"/>
      <c r="S170" s="10"/>
      <c r="T170" s="9" t="s">
        <v>185</v>
      </c>
      <c r="U170" s="9" t="s">
        <v>1133</v>
      </c>
    </row>
    <row r="171" spans="1:21" ht="39.6" x14ac:dyDescent="0.3">
      <c r="A171" s="15" t="s">
        <v>1134</v>
      </c>
      <c r="B171" s="16">
        <v>10</v>
      </c>
      <c r="C171" s="9" t="s">
        <v>238</v>
      </c>
      <c r="D171" s="9" t="s">
        <v>565</v>
      </c>
      <c r="E171" s="9" t="s">
        <v>1122</v>
      </c>
      <c r="F171" s="9" t="s">
        <v>1123</v>
      </c>
      <c r="G171" s="9" t="s">
        <v>1135</v>
      </c>
      <c r="H171" s="9">
        <v>170</v>
      </c>
      <c r="I171" s="10" t="s">
        <v>1136</v>
      </c>
      <c r="J171" s="10" t="s">
        <v>60</v>
      </c>
      <c r="K171" s="9">
        <v>0</v>
      </c>
      <c r="L171" s="10" t="s">
        <v>60</v>
      </c>
      <c r="M171" s="9">
        <v>0</v>
      </c>
      <c r="N171" s="9" t="s">
        <v>62</v>
      </c>
      <c r="O171" s="10" t="s">
        <v>607</v>
      </c>
      <c r="P171" s="10" t="s">
        <v>60</v>
      </c>
      <c r="Q171" s="9">
        <v>0</v>
      </c>
      <c r="R171" s="10"/>
      <c r="S171" s="10"/>
      <c r="T171" s="9" t="s">
        <v>1137</v>
      </c>
      <c r="U171" s="9" t="s">
        <v>1138</v>
      </c>
    </row>
    <row r="172" spans="1:21" ht="52.8" x14ac:dyDescent="0.3">
      <c r="A172" s="15" t="s">
        <v>1138</v>
      </c>
      <c r="B172" s="16">
        <v>10</v>
      </c>
      <c r="C172" s="9" t="s">
        <v>238</v>
      </c>
      <c r="D172" s="9" t="s">
        <v>565</v>
      </c>
      <c r="E172" s="9" t="s">
        <v>1122</v>
      </c>
      <c r="F172" s="9" t="s">
        <v>1123</v>
      </c>
      <c r="G172" s="9" t="s">
        <v>1139</v>
      </c>
      <c r="H172" s="9">
        <v>171</v>
      </c>
      <c r="I172" s="10" t="s">
        <v>1140</v>
      </c>
      <c r="J172" s="10" t="s">
        <v>60</v>
      </c>
      <c r="K172" s="9">
        <v>0</v>
      </c>
      <c r="L172" s="10" t="s">
        <v>1141</v>
      </c>
      <c r="M172" s="9">
        <v>3</v>
      </c>
      <c r="N172" s="9" t="s">
        <v>62</v>
      </c>
      <c r="O172" s="10" t="s">
        <v>607</v>
      </c>
      <c r="P172" s="10" t="s">
        <v>60</v>
      </c>
      <c r="Q172" s="9">
        <v>0</v>
      </c>
      <c r="R172" s="10"/>
      <c r="S172" s="10"/>
      <c r="T172" s="9" t="s">
        <v>1142</v>
      </c>
      <c r="U172" s="9"/>
    </row>
    <row r="173" spans="1:21" ht="52.8" x14ac:dyDescent="0.3">
      <c r="A173" s="15" t="s">
        <v>1143</v>
      </c>
      <c r="B173" s="16">
        <v>10</v>
      </c>
      <c r="C173" s="9" t="s">
        <v>238</v>
      </c>
      <c r="D173" s="9" t="s">
        <v>565</v>
      </c>
      <c r="E173" s="9" t="s">
        <v>1122</v>
      </c>
      <c r="F173" s="9" t="s">
        <v>1123</v>
      </c>
      <c r="G173" s="9" t="s">
        <v>1144</v>
      </c>
      <c r="H173" s="9">
        <v>172</v>
      </c>
      <c r="I173" s="10" t="s">
        <v>1145</v>
      </c>
      <c r="J173" s="10" t="s">
        <v>60</v>
      </c>
      <c r="K173" s="9">
        <v>0</v>
      </c>
      <c r="L173" s="10" t="s">
        <v>1146</v>
      </c>
      <c r="M173" s="9">
        <v>2</v>
      </c>
      <c r="N173" s="9" t="s">
        <v>62</v>
      </c>
      <c r="O173" s="10" t="s">
        <v>607</v>
      </c>
      <c r="P173" s="10" t="s">
        <v>60</v>
      </c>
      <c r="Q173" s="9">
        <v>0</v>
      </c>
      <c r="R173" s="10"/>
      <c r="S173" s="10"/>
      <c r="T173" s="9"/>
      <c r="U173" s="9"/>
    </row>
    <row r="174" spans="1:21" ht="52.8" x14ac:dyDescent="0.3">
      <c r="A174" s="15" t="s">
        <v>1147</v>
      </c>
      <c r="B174" s="16">
        <v>10</v>
      </c>
      <c r="C174" s="9" t="s">
        <v>238</v>
      </c>
      <c r="D174" s="9" t="s">
        <v>565</v>
      </c>
      <c r="E174" s="9" t="s">
        <v>1122</v>
      </c>
      <c r="F174" s="9" t="s">
        <v>1123</v>
      </c>
      <c r="G174" s="9" t="s">
        <v>1148</v>
      </c>
      <c r="H174" s="9">
        <v>173</v>
      </c>
      <c r="I174" s="10" t="s">
        <v>1149</v>
      </c>
      <c r="J174" s="10" t="s">
        <v>60</v>
      </c>
      <c r="K174" s="9">
        <v>0</v>
      </c>
      <c r="L174" s="10" t="s">
        <v>60</v>
      </c>
      <c r="M174" s="9">
        <v>0</v>
      </c>
      <c r="N174" s="9" t="s">
        <v>126</v>
      </c>
      <c r="O174" s="10" t="s">
        <v>538</v>
      </c>
      <c r="P174" s="10" t="s">
        <v>60</v>
      </c>
      <c r="Q174" s="9">
        <v>0</v>
      </c>
      <c r="R174" s="10"/>
      <c r="S174" s="10"/>
      <c r="T174" s="9"/>
      <c r="U174" s="9"/>
    </row>
    <row r="175" spans="1:21" ht="39.6" x14ac:dyDescent="0.3">
      <c r="A175" s="15" t="s">
        <v>1150</v>
      </c>
      <c r="B175" s="16">
        <v>10</v>
      </c>
      <c r="C175" s="9" t="s">
        <v>238</v>
      </c>
      <c r="D175" s="9" t="s">
        <v>565</v>
      </c>
      <c r="E175" s="9" t="s">
        <v>1122</v>
      </c>
      <c r="F175" s="9" t="s">
        <v>1123</v>
      </c>
      <c r="G175" s="9" t="s">
        <v>1151</v>
      </c>
      <c r="H175" s="9">
        <v>174</v>
      </c>
      <c r="I175" s="10" t="s">
        <v>1152</v>
      </c>
      <c r="J175" s="10" t="s">
        <v>60</v>
      </c>
      <c r="K175" s="9">
        <v>0</v>
      </c>
      <c r="L175" s="10" t="s">
        <v>60</v>
      </c>
      <c r="M175" s="9">
        <v>0</v>
      </c>
      <c r="N175" s="9" t="s">
        <v>126</v>
      </c>
      <c r="O175" s="10" t="s">
        <v>1153</v>
      </c>
      <c r="P175" s="10" t="s">
        <v>60</v>
      </c>
      <c r="Q175" s="9">
        <v>0</v>
      </c>
      <c r="R175" s="10" t="s">
        <v>1154</v>
      </c>
      <c r="S175" s="10"/>
      <c r="T175" s="9"/>
      <c r="U175" s="9"/>
    </row>
    <row r="176" spans="1:21" ht="52.8" x14ac:dyDescent="0.3">
      <c r="A176" s="15" t="s">
        <v>1155</v>
      </c>
      <c r="B176" s="16">
        <v>10</v>
      </c>
      <c r="C176" s="9" t="s">
        <v>238</v>
      </c>
      <c r="D176" s="9" t="s">
        <v>565</v>
      </c>
      <c r="E176" s="9" t="s">
        <v>1122</v>
      </c>
      <c r="F176" s="9" t="s">
        <v>1156</v>
      </c>
      <c r="G176" s="9" t="s">
        <v>1157</v>
      </c>
      <c r="H176" s="9">
        <v>175</v>
      </c>
      <c r="I176" s="10" t="s">
        <v>1158</v>
      </c>
      <c r="J176" s="10" t="s">
        <v>1159</v>
      </c>
      <c r="K176" s="9">
        <v>3</v>
      </c>
      <c r="L176" s="10" t="s">
        <v>1160</v>
      </c>
      <c r="M176" s="9">
        <v>4</v>
      </c>
      <c r="N176" s="9" t="s">
        <v>62</v>
      </c>
      <c r="O176" s="10" t="s">
        <v>607</v>
      </c>
      <c r="P176" s="10" t="s">
        <v>60</v>
      </c>
      <c r="Q176" s="9">
        <v>0</v>
      </c>
      <c r="R176" s="10"/>
      <c r="S176" s="10"/>
      <c r="T176" s="9"/>
      <c r="U176" s="9"/>
    </row>
    <row r="177" spans="1:21" ht="39.6" x14ac:dyDescent="0.3">
      <c r="A177" s="15" t="s">
        <v>1161</v>
      </c>
      <c r="B177" s="16">
        <v>10</v>
      </c>
      <c r="C177" s="9" t="s">
        <v>238</v>
      </c>
      <c r="D177" s="9" t="s">
        <v>565</v>
      </c>
      <c r="E177" s="9" t="s">
        <v>1122</v>
      </c>
      <c r="F177" s="9" t="s">
        <v>1156</v>
      </c>
      <c r="G177" s="9" t="s">
        <v>1162</v>
      </c>
      <c r="H177" s="9">
        <v>176</v>
      </c>
      <c r="I177" s="10" t="s">
        <v>1163</v>
      </c>
      <c r="J177" s="10" t="s">
        <v>60</v>
      </c>
      <c r="K177" s="9">
        <v>0</v>
      </c>
      <c r="L177" s="10" t="s">
        <v>60</v>
      </c>
      <c r="M177" s="9">
        <v>0</v>
      </c>
      <c r="N177" s="9" t="s">
        <v>76</v>
      </c>
      <c r="O177" s="10" t="s">
        <v>621</v>
      </c>
      <c r="P177" s="10" t="s">
        <v>60</v>
      </c>
      <c r="Q177" s="9">
        <v>0</v>
      </c>
      <c r="R177" s="10"/>
      <c r="S177" s="10"/>
      <c r="T177" s="9"/>
      <c r="U177" s="9"/>
    </row>
    <row r="178" spans="1:21" ht="39.6" x14ac:dyDescent="0.3">
      <c r="A178" s="15" t="s">
        <v>1164</v>
      </c>
      <c r="B178" s="16">
        <v>10</v>
      </c>
      <c r="C178" s="9" t="s">
        <v>238</v>
      </c>
      <c r="D178" s="9" t="s">
        <v>565</v>
      </c>
      <c r="E178" s="9" t="s">
        <v>1122</v>
      </c>
      <c r="F178" s="9" t="s">
        <v>1156</v>
      </c>
      <c r="G178" s="9" t="s">
        <v>1165</v>
      </c>
      <c r="H178" s="9">
        <v>177</v>
      </c>
      <c r="I178" s="10" t="s">
        <v>1166</v>
      </c>
      <c r="J178" s="10" t="s">
        <v>1167</v>
      </c>
      <c r="K178" s="9">
        <v>2</v>
      </c>
      <c r="L178" s="10" t="s">
        <v>1168</v>
      </c>
      <c r="M178" s="9">
        <v>3</v>
      </c>
      <c r="N178" s="9" t="s">
        <v>62</v>
      </c>
      <c r="O178" s="10" t="s">
        <v>1169</v>
      </c>
      <c r="P178" s="10" t="s">
        <v>1170</v>
      </c>
      <c r="Q178" s="9">
        <v>2</v>
      </c>
      <c r="R178" s="10"/>
      <c r="S178" s="10"/>
      <c r="T178" s="9"/>
      <c r="U178" s="9"/>
    </row>
    <row r="179" spans="1:21" ht="66" x14ac:dyDescent="0.3">
      <c r="A179" s="15" t="s">
        <v>1171</v>
      </c>
      <c r="B179" s="16">
        <v>10</v>
      </c>
      <c r="C179" s="9" t="s">
        <v>238</v>
      </c>
      <c r="D179" s="9" t="s">
        <v>565</v>
      </c>
      <c r="E179" s="9" t="s">
        <v>1122</v>
      </c>
      <c r="F179" s="9" t="s">
        <v>1156</v>
      </c>
      <c r="G179" s="9" t="s">
        <v>1172</v>
      </c>
      <c r="H179" s="9">
        <v>178</v>
      </c>
      <c r="I179" s="10" t="s">
        <v>1173</v>
      </c>
      <c r="J179" s="10" t="s">
        <v>1174</v>
      </c>
      <c r="K179" s="9">
        <v>1</v>
      </c>
      <c r="L179" s="10" t="s">
        <v>1175</v>
      </c>
      <c r="M179" s="9">
        <v>3</v>
      </c>
      <c r="N179" s="9" t="s">
        <v>126</v>
      </c>
      <c r="O179" s="10" t="s">
        <v>538</v>
      </c>
      <c r="P179" s="10" t="s">
        <v>1176</v>
      </c>
      <c r="Q179" s="9">
        <v>1</v>
      </c>
      <c r="R179" s="10"/>
      <c r="S179" s="10"/>
      <c r="T179" s="9"/>
      <c r="U179" s="9"/>
    </row>
    <row r="180" spans="1:21" ht="66" x14ac:dyDescent="0.3">
      <c r="A180" s="15" t="s">
        <v>1177</v>
      </c>
      <c r="B180" s="16">
        <v>10</v>
      </c>
      <c r="C180" s="9" t="s">
        <v>238</v>
      </c>
      <c r="D180" s="9" t="s">
        <v>565</v>
      </c>
      <c r="E180" s="9" t="s">
        <v>1122</v>
      </c>
      <c r="F180" s="9" t="s">
        <v>1156</v>
      </c>
      <c r="G180" s="9" t="s">
        <v>1178</v>
      </c>
      <c r="H180" s="9">
        <v>179</v>
      </c>
      <c r="I180" s="10" t="s">
        <v>1179</v>
      </c>
      <c r="J180" s="10" t="s">
        <v>1180</v>
      </c>
      <c r="K180" s="9">
        <v>2</v>
      </c>
      <c r="L180" s="10" t="s">
        <v>1181</v>
      </c>
      <c r="M180" s="9">
        <v>2</v>
      </c>
      <c r="N180" s="9" t="s">
        <v>126</v>
      </c>
      <c r="O180" s="10" t="s">
        <v>538</v>
      </c>
      <c r="P180" s="10" t="s">
        <v>60</v>
      </c>
      <c r="Q180" s="9">
        <v>0</v>
      </c>
      <c r="R180" s="10"/>
      <c r="S180" s="10"/>
      <c r="T180" s="9"/>
      <c r="U180" s="9"/>
    </row>
    <row r="181" spans="1:21" ht="39.6" x14ac:dyDescent="0.3">
      <c r="A181" s="15" t="s">
        <v>1182</v>
      </c>
      <c r="B181" s="16">
        <v>10</v>
      </c>
      <c r="C181" s="9" t="s">
        <v>238</v>
      </c>
      <c r="D181" s="9" t="s">
        <v>565</v>
      </c>
      <c r="E181" s="9" t="s">
        <v>1122</v>
      </c>
      <c r="F181" s="9" t="s">
        <v>1156</v>
      </c>
      <c r="G181" s="9" t="s">
        <v>1183</v>
      </c>
      <c r="H181" s="9">
        <v>180</v>
      </c>
      <c r="I181" s="10" t="s">
        <v>1184</v>
      </c>
      <c r="J181" s="10" t="s">
        <v>60</v>
      </c>
      <c r="K181" s="9">
        <v>0</v>
      </c>
      <c r="L181" s="10" t="s">
        <v>60</v>
      </c>
      <c r="M181" s="9">
        <v>0</v>
      </c>
      <c r="N181" s="9" t="s">
        <v>76</v>
      </c>
      <c r="O181" s="10" t="s">
        <v>621</v>
      </c>
      <c r="P181" s="10" t="s">
        <v>60</v>
      </c>
      <c r="Q181" s="9">
        <v>0</v>
      </c>
      <c r="R181" s="10"/>
      <c r="S181" s="10"/>
      <c r="T181" s="9"/>
      <c r="U181" s="9"/>
    </row>
    <row r="182" spans="1:21" ht="105.6" x14ac:dyDescent="0.3">
      <c r="A182" s="15" t="s">
        <v>627</v>
      </c>
      <c r="B182" s="16">
        <v>10</v>
      </c>
      <c r="C182" s="9" t="s">
        <v>238</v>
      </c>
      <c r="D182" s="9" t="s">
        <v>565</v>
      </c>
      <c r="E182" s="9" t="s">
        <v>1122</v>
      </c>
      <c r="F182" s="9" t="s">
        <v>1156</v>
      </c>
      <c r="G182" s="9" t="s">
        <v>1185</v>
      </c>
      <c r="H182" s="9">
        <v>181</v>
      </c>
      <c r="I182" s="10" t="s">
        <v>1186</v>
      </c>
      <c r="J182" s="10" t="s">
        <v>1187</v>
      </c>
      <c r="K182" s="9">
        <v>8</v>
      </c>
      <c r="L182" s="10" t="s">
        <v>1188</v>
      </c>
      <c r="M182" s="9">
        <v>7</v>
      </c>
      <c r="N182" s="9" t="s">
        <v>62</v>
      </c>
      <c r="O182" s="10" t="s">
        <v>1189</v>
      </c>
      <c r="P182" s="10" t="s">
        <v>1190</v>
      </c>
      <c r="Q182" s="9">
        <v>3</v>
      </c>
      <c r="R182" s="10" t="s">
        <v>1191</v>
      </c>
      <c r="S182" s="10"/>
      <c r="T182" s="9" t="s">
        <v>1192</v>
      </c>
      <c r="U182" s="9"/>
    </row>
    <row r="183" spans="1:21" ht="79.2" x14ac:dyDescent="0.3">
      <c r="A183" s="15" t="s">
        <v>1193</v>
      </c>
      <c r="B183" s="16">
        <v>10</v>
      </c>
      <c r="C183" s="9" t="s">
        <v>238</v>
      </c>
      <c r="D183" s="9" t="s">
        <v>565</v>
      </c>
      <c r="E183" s="9" t="s">
        <v>1122</v>
      </c>
      <c r="F183" s="9" t="s">
        <v>1194</v>
      </c>
      <c r="G183" s="9" t="s">
        <v>1195</v>
      </c>
      <c r="H183" s="9">
        <v>182</v>
      </c>
      <c r="I183" s="10" t="s">
        <v>1196</v>
      </c>
      <c r="J183" s="10" t="s">
        <v>1197</v>
      </c>
      <c r="K183" s="9">
        <v>1</v>
      </c>
      <c r="L183" s="10" t="s">
        <v>1198</v>
      </c>
      <c r="M183" s="9">
        <v>5</v>
      </c>
      <c r="N183" s="9" t="s">
        <v>62</v>
      </c>
      <c r="O183" s="10" t="s">
        <v>1199</v>
      </c>
      <c r="P183" s="10" t="s">
        <v>1200</v>
      </c>
      <c r="Q183" s="9">
        <v>2</v>
      </c>
      <c r="R183" s="10"/>
      <c r="S183" s="10"/>
      <c r="T183" s="9" t="s">
        <v>830</v>
      </c>
      <c r="U183" s="9" t="s">
        <v>1201</v>
      </c>
    </row>
    <row r="184" spans="1:21" ht="39.6" x14ac:dyDescent="0.3">
      <c r="A184" s="15" t="s">
        <v>1202</v>
      </c>
      <c r="B184" s="16">
        <v>10</v>
      </c>
      <c r="C184" s="9" t="s">
        <v>238</v>
      </c>
      <c r="D184" s="9" t="s">
        <v>565</v>
      </c>
      <c r="E184" s="9" t="s">
        <v>1122</v>
      </c>
      <c r="F184" s="9" t="s">
        <v>1194</v>
      </c>
      <c r="G184" s="9" t="s">
        <v>1203</v>
      </c>
      <c r="H184" s="9">
        <v>183</v>
      </c>
      <c r="I184" s="10" t="s">
        <v>1204</v>
      </c>
      <c r="J184" s="10" t="s">
        <v>1205</v>
      </c>
      <c r="K184" s="9">
        <v>2</v>
      </c>
      <c r="L184" s="10" t="s">
        <v>1206</v>
      </c>
      <c r="M184" s="9">
        <v>3</v>
      </c>
      <c r="N184" s="9" t="s">
        <v>62</v>
      </c>
      <c r="O184" s="10" t="s">
        <v>607</v>
      </c>
      <c r="P184" s="10" t="s">
        <v>60</v>
      </c>
      <c r="Q184" s="9">
        <v>0</v>
      </c>
      <c r="R184" s="10"/>
      <c r="S184" s="10"/>
      <c r="T184" s="9"/>
      <c r="U184" s="9"/>
    </row>
    <row r="185" spans="1:21" ht="39.6" x14ac:dyDescent="0.3">
      <c r="A185" s="15" t="s">
        <v>1207</v>
      </c>
      <c r="B185" s="16">
        <v>10</v>
      </c>
      <c r="C185" s="9" t="s">
        <v>238</v>
      </c>
      <c r="D185" s="9" t="s">
        <v>565</v>
      </c>
      <c r="E185" s="9" t="s">
        <v>1122</v>
      </c>
      <c r="F185" s="9" t="s">
        <v>1194</v>
      </c>
      <c r="G185" s="9" t="s">
        <v>1208</v>
      </c>
      <c r="H185" s="9">
        <v>184</v>
      </c>
      <c r="I185" s="10" t="s">
        <v>1209</v>
      </c>
      <c r="J185" s="10" t="s">
        <v>1210</v>
      </c>
      <c r="K185" s="9">
        <v>3</v>
      </c>
      <c r="L185" s="10" t="s">
        <v>1211</v>
      </c>
      <c r="M185" s="9">
        <v>3</v>
      </c>
      <c r="N185" s="9" t="s">
        <v>62</v>
      </c>
      <c r="O185" s="10" t="s">
        <v>1212</v>
      </c>
      <c r="P185" s="10" t="s">
        <v>1213</v>
      </c>
      <c r="Q185" s="9">
        <v>2</v>
      </c>
      <c r="R185" s="10" t="s">
        <v>1214</v>
      </c>
      <c r="S185" s="10"/>
      <c r="T185" s="9" t="s">
        <v>839</v>
      </c>
      <c r="U185" s="9" t="s">
        <v>1215</v>
      </c>
    </row>
    <row r="186" spans="1:21" ht="26.4" x14ac:dyDescent="0.3">
      <c r="A186" s="15" t="s">
        <v>1216</v>
      </c>
      <c r="B186" s="16">
        <v>10</v>
      </c>
      <c r="C186" s="9" t="s">
        <v>238</v>
      </c>
      <c r="D186" s="9" t="s">
        <v>565</v>
      </c>
      <c r="E186" s="9" t="s">
        <v>1122</v>
      </c>
      <c r="F186" s="9" t="s">
        <v>1217</v>
      </c>
      <c r="G186" s="9" t="s">
        <v>1218</v>
      </c>
      <c r="H186" s="9">
        <v>185</v>
      </c>
      <c r="I186" s="10" t="s">
        <v>1219</v>
      </c>
      <c r="J186" s="10" t="s">
        <v>60</v>
      </c>
      <c r="K186" s="9">
        <v>0</v>
      </c>
      <c r="L186" s="10" t="s">
        <v>60</v>
      </c>
      <c r="M186" s="9">
        <v>0</v>
      </c>
      <c r="N186" s="9" t="s">
        <v>76</v>
      </c>
      <c r="O186" s="10" t="s">
        <v>621</v>
      </c>
      <c r="P186" s="10" t="s">
        <v>60</v>
      </c>
      <c r="Q186" s="9">
        <v>0</v>
      </c>
      <c r="R186" s="10"/>
      <c r="S186" s="10"/>
      <c r="T186" s="9"/>
      <c r="U186" s="9"/>
    </row>
    <row r="187" spans="1:21" ht="52.8" x14ac:dyDescent="0.3">
      <c r="A187" s="15" t="s">
        <v>1220</v>
      </c>
      <c r="B187" s="16">
        <v>10</v>
      </c>
      <c r="C187" s="9" t="s">
        <v>238</v>
      </c>
      <c r="D187" s="9" t="s">
        <v>565</v>
      </c>
      <c r="E187" s="9" t="s">
        <v>1122</v>
      </c>
      <c r="F187" s="9" t="s">
        <v>1217</v>
      </c>
      <c r="G187" s="9" t="s">
        <v>1221</v>
      </c>
      <c r="H187" s="9">
        <v>186</v>
      </c>
      <c r="I187" s="10" t="s">
        <v>1222</v>
      </c>
      <c r="J187" s="10" t="s">
        <v>60</v>
      </c>
      <c r="K187" s="9">
        <v>0</v>
      </c>
      <c r="L187" s="10" t="s">
        <v>60</v>
      </c>
      <c r="M187" s="9">
        <v>0</v>
      </c>
      <c r="N187" s="9" t="s">
        <v>62</v>
      </c>
      <c r="O187" s="10" t="s">
        <v>607</v>
      </c>
      <c r="P187" s="10" t="s">
        <v>60</v>
      </c>
      <c r="Q187" s="9">
        <v>0</v>
      </c>
      <c r="R187" s="10"/>
      <c r="S187" s="10"/>
      <c r="T187" s="9"/>
      <c r="U187" s="9"/>
    </row>
    <row r="188" spans="1:21" ht="66" x14ac:dyDescent="0.3">
      <c r="A188" s="15" t="s">
        <v>1223</v>
      </c>
      <c r="B188" s="16">
        <v>10</v>
      </c>
      <c r="C188" s="9" t="s">
        <v>238</v>
      </c>
      <c r="D188" s="9" t="s">
        <v>565</v>
      </c>
      <c r="E188" s="9" t="s">
        <v>1122</v>
      </c>
      <c r="F188" s="9" t="s">
        <v>1217</v>
      </c>
      <c r="G188" s="9" t="s">
        <v>1224</v>
      </c>
      <c r="H188" s="9">
        <v>187</v>
      </c>
      <c r="I188" s="10" t="s">
        <v>1225</v>
      </c>
      <c r="J188" s="10" t="s">
        <v>60</v>
      </c>
      <c r="K188" s="9">
        <v>0</v>
      </c>
      <c r="L188" s="10" t="s">
        <v>60</v>
      </c>
      <c r="M188" s="9">
        <v>0</v>
      </c>
      <c r="N188" s="9" t="s">
        <v>126</v>
      </c>
      <c r="O188" s="10" t="s">
        <v>538</v>
      </c>
      <c r="P188" s="10" t="s">
        <v>60</v>
      </c>
      <c r="Q188" s="9">
        <v>0</v>
      </c>
      <c r="R188" s="10"/>
      <c r="S188" s="10"/>
      <c r="T188" s="9" t="s">
        <v>865</v>
      </c>
      <c r="U188" s="9" t="s">
        <v>1226</v>
      </c>
    </row>
    <row r="189" spans="1:21" ht="66" x14ac:dyDescent="0.3">
      <c r="A189" s="15" t="s">
        <v>1227</v>
      </c>
      <c r="B189" s="16">
        <v>10</v>
      </c>
      <c r="C189" s="9" t="s">
        <v>238</v>
      </c>
      <c r="D189" s="9" t="s">
        <v>565</v>
      </c>
      <c r="E189" s="9" t="s">
        <v>1122</v>
      </c>
      <c r="F189" s="9" t="s">
        <v>1217</v>
      </c>
      <c r="G189" s="9" t="s">
        <v>1228</v>
      </c>
      <c r="H189" s="9">
        <v>188</v>
      </c>
      <c r="I189" s="10" t="s">
        <v>1229</v>
      </c>
      <c r="J189" s="10" t="s">
        <v>1230</v>
      </c>
      <c r="K189" s="9">
        <v>5</v>
      </c>
      <c r="L189" s="10" t="s">
        <v>1231</v>
      </c>
      <c r="M189" s="9">
        <v>4</v>
      </c>
      <c r="N189" s="9" t="s">
        <v>62</v>
      </c>
      <c r="O189" s="10" t="s">
        <v>1232</v>
      </c>
      <c r="P189" s="10" t="s">
        <v>1233</v>
      </c>
      <c r="Q189" s="9">
        <v>1</v>
      </c>
      <c r="R189" s="10"/>
      <c r="S189" s="10"/>
      <c r="T189" s="9"/>
      <c r="U189" s="9" t="s">
        <v>1234</v>
      </c>
    </row>
    <row r="190" spans="1:21" ht="52.8" x14ac:dyDescent="0.3">
      <c r="A190" s="15" t="s">
        <v>1235</v>
      </c>
      <c r="B190" s="16">
        <v>10</v>
      </c>
      <c r="C190" s="9" t="s">
        <v>238</v>
      </c>
      <c r="D190" s="9" t="s">
        <v>565</v>
      </c>
      <c r="E190" s="9" t="s">
        <v>1122</v>
      </c>
      <c r="F190" s="9" t="s">
        <v>1217</v>
      </c>
      <c r="G190" s="9" t="s">
        <v>1236</v>
      </c>
      <c r="H190" s="9">
        <v>189</v>
      </c>
      <c r="I190" s="10" t="s">
        <v>1237</v>
      </c>
      <c r="J190" s="10" t="s">
        <v>1238</v>
      </c>
      <c r="K190" s="9">
        <v>4</v>
      </c>
      <c r="L190" s="10" t="s">
        <v>1239</v>
      </c>
      <c r="M190" s="9">
        <v>4</v>
      </c>
      <c r="N190" s="9" t="s">
        <v>62</v>
      </c>
      <c r="O190" s="10" t="s">
        <v>607</v>
      </c>
      <c r="P190" s="10" t="s">
        <v>60</v>
      </c>
      <c r="Q190" s="9">
        <v>0</v>
      </c>
      <c r="R190" s="10"/>
      <c r="S190" s="10"/>
      <c r="T190" s="9"/>
      <c r="U190" s="9"/>
    </row>
    <row r="191" spans="1:21" ht="79.2" x14ac:dyDescent="0.3">
      <c r="A191" s="15" t="s">
        <v>1240</v>
      </c>
      <c r="B191" s="16">
        <v>10</v>
      </c>
      <c r="C191" s="9" t="s">
        <v>238</v>
      </c>
      <c r="D191" s="9" t="s">
        <v>565</v>
      </c>
      <c r="E191" s="9" t="s">
        <v>1122</v>
      </c>
      <c r="F191" s="9" t="s">
        <v>1217</v>
      </c>
      <c r="G191" s="9" t="s">
        <v>1241</v>
      </c>
      <c r="H191" s="9">
        <v>190</v>
      </c>
      <c r="I191" s="10" t="s">
        <v>1242</v>
      </c>
      <c r="J191" s="10" t="s">
        <v>1243</v>
      </c>
      <c r="K191" s="9">
        <v>5</v>
      </c>
      <c r="L191" s="10" t="s">
        <v>1244</v>
      </c>
      <c r="M191" s="9">
        <v>4</v>
      </c>
      <c r="N191" s="9" t="s">
        <v>62</v>
      </c>
      <c r="O191" s="10" t="s">
        <v>1245</v>
      </c>
      <c r="P191" s="10" t="s">
        <v>1246</v>
      </c>
      <c r="Q191" s="9">
        <v>2</v>
      </c>
      <c r="R191" s="10" t="s">
        <v>1247</v>
      </c>
      <c r="S191" s="10"/>
      <c r="T191" s="9" t="s">
        <v>872</v>
      </c>
      <c r="U191" s="9" t="s">
        <v>1248</v>
      </c>
    </row>
    <row r="192" spans="1:21" ht="52.8" x14ac:dyDescent="0.3">
      <c r="A192" s="15" t="s">
        <v>1249</v>
      </c>
      <c r="B192" s="16">
        <v>10</v>
      </c>
      <c r="C192" s="9" t="s">
        <v>238</v>
      </c>
      <c r="D192" s="9" t="s">
        <v>318</v>
      </c>
      <c r="E192" s="9" t="s">
        <v>1250</v>
      </c>
      <c r="F192" s="9" t="s">
        <v>1251</v>
      </c>
      <c r="G192" s="9" t="s">
        <v>1252</v>
      </c>
      <c r="H192" s="9">
        <v>191</v>
      </c>
      <c r="I192" s="10" t="s">
        <v>1253</v>
      </c>
      <c r="J192" s="10" t="s">
        <v>1254</v>
      </c>
      <c r="K192" s="9">
        <v>3</v>
      </c>
      <c r="L192" s="10" t="s">
        <v>1255</v>
      </c>
      <c r="M192" s="9">
        <v>4</v>
      </c>
      <c r="N192" s="9" t="s">
        <v>62</v>
      </c>
      <c r="O192" s="10" t="s">
        <v>607</v>
      </c>
      <c r="P192" s="10" t="s">
        <v>1256</v>
      </c>
      <c r="Q192" s="9">
        <v>1</v>
      </c>
      <c r="R192" s="10"/>
      <c r="S192" s="10"/>
      <c r="T192" s="9"/>
      <c r="U192" s="9"/>
    </row>
    <row r="193" spans="1:21" ht="92.4" x14ac:dyDescent="0.3">
      <c r="A193" s="15" t="s">
        <v>965</v>
      </c>
      <c r="B193" s="16">
        <v>10</v>
      </c>
      <c r="C193" s="9" t="s">
        <v>238</v>
      </c>
      <c r="D193" s="9" t="s">
        <v>318</v>
      </c>
      <c r="E193" s="9" t="s">
        <v>1250</v>
      </c>
      <c r="F193" s="9" t="s">
        <v>1251</v>
      </c>
      <c r="G193" s="9" t="s">
        <v>1257</v>
      </c>
      <c r="H193" s="9">
        <v>192</v>
      </c>
      <c r="I193" s="10" t="s">
        <v>1258</v>
      </c>
      <c r="J193" s="10" t="s">
        <v>1259</v>
      </c>
      <c r="K193" s="9">
        <v>6</v>
      </c>
      <c r="L193" s="10" t="s">
        <v>1260</v>
      </c>
      <c r="M193" s="9">
        <v>7</v>
      </c>
      <c r="N193" s="9" t="s">
        <v>62</v>
      </c>
      <c r="O193" s="10" t="s">
        <v>1261</v>
      </c>
      <c r="P193" s="10" t="s">
        <v>60</v>
      </c>
      <c r="Q193" s="9">
        <v>0</v>
      </c>
      <c r="R193" s="10" t="s">
        <v>1262</v>
      </c>
      <c r="S193" s="10"/>
      <c r="T193" s="9" t="s">
        <v>956</v>
      </c>
      <c r="U193" s="9"/>
    </row>
    <row r="194" spans="1:21" ht="39.6" x14ac:dyDescent="0.3">
      <c r="A194" s="15" t="s">
        <v>1263</v>
      </c>
      <c r="B194" s="16">
        <v>10</v>
      </c>
      <c r="C194" s="9" t="s">
        <v>238</v>
      </c>
      <c r="D194" s="9" t="s">
        <v>318</v>
      </c>
      <c r="E194" s="9" t="s">
        <v>1250</v>
      </c>
      <c r="F194" s="9" t="s">
        <v>1264</v>
      </c>
      <c r="G194" s="9" t="s">
        <v>1265</v>
      </c>
      <c r="H194" s="9">
        <v>193</v>
      </c>
      <c r="I194" s="10" t="s">
        <v>1266</v>
      </c>
      <c r="J194" s="10" t="s">
        <v>60</v>
      </c>
      <c r="K194" s="9">
        <v>0</v>
      </c>
      <c r="L194" s="10" t="s">
        <v>60</v>
      </c>
      <c r="M194" s="9">
        <v>0</v>
      </c>
      <c r="N194" s="9" t="s">
        <v>87</v>
      </c>
      <c r="O194" s="10" t="s">
        <v>87</v>
      </c>
      <c r="P194" s="10" t="s">
        <v>60</v>
      </c>
      <c r="Q194" s="9">
        <v>0</v>
      </c>
      <c r="R194" s="10"/>
      <c r="S194" s="10"/>
      <c r="T194" s="9"/>
      <c r="U194" s="9"/>
    </row>
    <row r="195" spans="1:21" ht="66" x14ac:dyDescent="0.3">
      <c r="A195" s="15" t="s">
        <v>1267</v>
      </c>
      <c r="B195" s="16">
        <v>10</v>
      </c>
      <c r="C195" s="9" t="s">
        <v>238</v>
      </c>
      <c r="D195" s="9" t="s">
        <v>318</v>
      </c>
      <c r="E195" s="9" t="s">
        <v>1250</v>
      </c>
      <c r="F195" s="9" t="s">
        <v>1264</v>
      </c>
      <c r="G195" s="9" t="s">
        <v>1268</v>
      </c>
      <c r="H195" s="9">
        <v>194</v>
      </c>
      <c r="I195" s="10" t="s">
        <v>1269</v>
      </c>
      <c r="J195" s="10" t="s">
        <v>60</v>
      </c>
      <c r="K195" s="9">
        <v>0</v>
      </c>
      <c r="L195" s="10" t="s">
        <v>60</v>
      </c>
      <c r="M195" s="9">
        <v>0</v>
      </c>
      <c r="N195" s="9" t="s">
        <v>62</v>
      </c>
      <c r="O195" s="10" t="s">
        <v>1270</v>
      </c>
      <c r="P195" s="10" t="s">
        <v>60</v>
      </c>
      <c r="Q195" s="9">
        <v>0</v>
      </c>
      <c r="R195" s="10"/>
      <c r="S195" s="10"/>
      <c r="T195" s="9"/>
      <c r="U195" s="9"/>
    </row>
    <row r="196" spans="1:21" ht="79.2" x14ac:dyDescent="0.3">
      <c r="A196" s="15" t="s">
        <v>1000</v>
      </c>
      <c r="B196" s="16">
        <v>10</v>
      </c>
      <c r="C196" s="9" t="s">
        <v>238</v>
      </c>
      <c r="D196" s="9" t="s">
        <v>318</v>
      </c>
      <c r="E196" s="9" t="s">
        <v>1250</v>
      </c>
      <c r="F196" s="9" t="s">
        <v>1264</v>
      </c>
      <c r="G196" s="9" t="s">
        <v>1271</v>
      </c>
      <c r="H196" s="9">
        <v>195</v>
      </c>
      <c r="I196" s="10" t="s">
        <v>1272</v>
      </c>
      <c r="J196" s="10" t="s">
        <v>1273</v>
      </c>
      <c r="K196" s="9">
        <v>5</v>
      </c>
      <c r="L196" s="10" t="s">
        <v>1274</v>
      </c>
      <c r="M196" s="9">
        <v>6</v>
      </c>
      <c r="N196" s="9" t="s">
        <v>62</v>
      </c>
      <c r="O196" s="10" t="s">
        <v>1275</v>
      </c>
      <c r="P196" s="10" t="s">
        <v>1276</v>
      </c>
      <c r="Q196" s="9">
        <v>3</v>
      </c>
      <c r="R196" s="10" t="s">
        <v>1277</v>
      </c>
      <c r="S196" s="10"/>
      <c r="T196" s="9" t="s">
        <v>992</v>
      </c>
      <c r="U196" s="9"/>
    </row>
    <row r="197" spans="1:21" ht="79.2" x14ac:dyDescent="0.3">
      <c r="A197" s="17" t="s">
        <v>1129</v>
      </c>
      <c r="B197" s="18">
        <v>11</v>
      </c>
      <c r="C197" s="9" t="s">
        <v>54</v>
      </c>
      <c r="D197" s="9" t="s">
        <v>55</v>
      </c>
      <c r="E197" s="9" t="s">
        <v>1278</v>
      </c>
      <c r="F197" s="9" t="s">
        <v>1279</v>
      </c>
      <c r="G197" s="9" t="s">
        <v>1279</v>
      </c>
      <c r="H197" s="9">
        <v>196</v>
      </c>
      <c r="I197" s="10" t="s">
        <v>1280</v>
      </c>
      <c r="J197" s="10" t="s">
        <v>1281</v>
      </c>
      <c r="K197" s="9">
        <v>2</v>
      </c>
      <c r="L197" s="10" t="s">
        <v>1282</v>
      </c>
      <c r="M197" s="9">
        <v>3</v>
      </c>
      <c r="N197" s="9" t="s">
        <v>62</v>
      </c>
      <c r="O197" s="10" t="s">
        <v>607</v>
      </c>
      <c r="P197" s="10" t="s">
        <v>60</v>
      </c>
      <c r="Q197" s="9">
        <v>0</v>
      </c>
      <c r="R197" s="10"/>
      <c r="S197" s="10"/>
      <c r="T197" s="9" t="s">
        <v>1283</v>
      </c>
      <c r="U197" s="9"/>
    </row>
    <row r="198" spans="1:21" ht="158.4" x14ac:dyDescent="0.3">
      <c r="A198" s="17" t="s">
        <v>1284</v>
      </c>
      <c r="B198" s="18">
        <v>11</v>
      </c>
      <c r="C198" s="9" t="s">
        <v>54</v>
      </c>
      <c r="D198" s="9" t="s">
        <v>55</v>
      </c>
      <c r="E198" s="9" t="s">
        <v>1278</v>
      </c>
      <c r="F198" s="9" t="s">
        <v>1285</v>
      </c>
      <c r="G198" s="9" t="s">
        <v>1285</v>
      </c>
      <c r="H198" s="9">
        <v>197</v>
      </c>
      <c r="I198" s="10" t="s">
        <v>1286</v>
      </c>
      <c r="J198" s="10" t="s">
        <v>1287</v>
      </c>
      <c r="K198" s="9">
        <v>6</v>
      </c>
      <c r="L198" s="10" t="s">
        <v>1288</v>
      </c>
      <c r="M198" s="9">
        <v>8</v>
      </c>
      <c r="N198" s="9" t="s">
        <v>62</v>
      </c>
      <c r="O198" s="10" t="s">
        <v>1289</v>
      </c>
      <c r="P198" s="10" t="s">
        <v>1290</v>
      </c>
      <c r="Q198" s="9">
        <v>3</v>
      </c>
      <c r="R198" s="10" t="s">
        <v>1291</v>
      </c>
      <c r="S198" s="10"/>
      <c r="T198" s="9"/>
      <c r="U198" s="9"/>
    </row>
    <row r="199" spans="1:21" ht="66" x14ac:dyDescent="0.3">
      <c r="A199" s="17" t="s">
        <v>1292</v>
      </c>
      <c r="B199" s="18">
        <v>11</v>
      </c>
      <c r="C199" s="9" t="s">
        <v>54</v>
      </c>
      <c r="D199" s="9" t="s">
        <v>55</v>
      </c>
      <c r="E199" s="9" t="s">
        <v>1293</v>
      </c>
      <c r="F199" s="9" t="s">
        <v>1294</v>
      </c>
      <c r="G199" s="9" t="s">
        <v>1294</v>
      </c>
      <c r="H199" s="9">
        <v>198</v>
      </c>
      <c r="I199" s="10" t="s">
        <v>1295</v>
      </c>
      <c r="J199" s="10" t="s">
        <v>1296</v>
      </c>
      <c r="K199" s="9">
        <v>4</v>
      </c>
      <c r="L199" s="10" t="s">
        <v>1297</v>
      </c>
      <c r="M199" s="9">
        <v>4</v>
      </c>
      <c r="N199" s="9" t="s">
        <v>62</v>
      </c>
      <c r="O199" s="10" t="s">
        <v>1298</v>
      </c>
      <c r="P199" s="10" t="s">
        <v>1299</v>
      </c>
      <c r="Q199" s="9">
        <v>2</v>
      </c>
      <c r="R199" s="10"/>
      <c r="S199" s="10"/>
      <c r="T199" s="9"/>
      <c r="U199" s="9"/>
    </row>
    <row r="200" spans="1:21" ht="105.6" x14ac:dyDescent="0.3">
      <c r="A200" s="17" t="s">
        <v>1300</v>
      </c>
      <c r="B200" s="18">
        <v>11</v>
      </c>
      <c r="C200" s="9" t="s">
        <v>54</v>
      </c>
      <c r="D200" s="9" t="s">
        <v>55</v>
      </c>
      <c r="E200" s="9" t="s">
        <v>1293</v>
      </c>
      <c r="F200" s="9" t="s">
        <v>1301</v>
      </c>
      <c r="G200" s="9" t="s">
        <v>1301</v>
      </c>
      <c r="H200" s="9">
        <v>199</v>
      </c>
      <c r="I200" s="10" t="s">
        <v>1302</v>
      </c>
      <c r="J200" s="10" t="s">
        <v>1303</v>
      </c>
      <c r="K200" s="9">
        <v>2</v>
      </c>
      <c r="L200" s="10" t="s">
        <v>1304</v>
      </c>
      <c r="M200" s="9">
        <v>4</v>
      </c>
      <c r="N200" s="9" t="s">
        <v>62</v>
      </c>
      <c r="O200" s="10" t="s">
        <v>1305</v>
      </c>
      <c r="P200" s="10" t="s">
        <v>1306</v>
      </c>
      <c r="Q200" s="9">
        <v>2</v>
      </c>
      <c r="R200" s="10"/>
      <c r="S200" s="10"/>
      <c r="T200" s="9"/>
      <c r="U200" s="9"/>
    </row>
    <row r="201" spans="1:21" ht="66" x14ac:dyDescent="0.3">
      <c r="A201" s="17" t="s">
        <v>1307</v>
      </c>
      <c r="B201" s="18">
        <v>11</v>
      </c>
      <c r="C201" s="9" t="s">
        <v>54</v>
      </c>
      <c r="D201" s="9" t="s">
        <v>55</v>
      </c>
      <c r="E201" s="9" t="s">
        <v>1293</v>
      </c>
      <c r="F201" s="9" t="s">
        <v>1308</v>
      </c>
      <c r="G201" s="9" t="s">
        <v>1308</v>
      </c>
      <c r="H201" s="9">
        <v>200</v>
      </c>
      <c r="I201" s="10" t="s">
        <v>1309</v>
      </c>
      <c r="J201" s="10" t="s">
        <v>1310</v>
      </c>
      <c r="K201" s="9">
        <v>5</v>
      </c>
      <c r="L201" s="10" t="s">
        <v>1311</v>
      </c>
      <c r="M201" s="9">
        <v>4</v>
      </c>
      <c r="N201" s="9" t="s">
        <v>62</v>
      </c>
      <c r="O201" s="10" t="s">
        <v>1312</v>
      </c>
      <c r="P201" s="10" t="s">
        <v>60</v>
      </c>
      <c r="Q201" s="9">
        <v>0</v>
      </c>
      <c r="R201" s="10"/>
      <c r="S201" s="10"/>
      <c r="T201" s="9"/>
      <c r="U201" s="9"/>
    </row>
    <row r="202" spans="1:21" ht="92.4" x14ac:dyDescent="0.3">
      <c r="A202" s="17" t="s">
        <v>1313</v>
      </c>
      <c r="B202" s="18">
        <v>11</v>
      </c>
      <c r="C202" s="9" t="s">
        <v>54</v>
      </c>
      <c r="D202" s="9" t="s">
        <v>55</v>
      </c>
      <c r="E202" s="9" t="s">
        <v>1293</v>
      </c>
      <c r="F202" s="9" t="s">
        <v>1314</v>
      </c>
      <c r="G202" s="9" t="s">
        <v>1314</v>
      </c>
      <c r="H202" s="9">
        <v>201</v>
      </c>
      <c r="I202" s="10" t="s">
        <v>1315</v>
      </c>
      <c r="J202" s="10" t="s">
        <v>1316</v>
      </c>
      <c r="K202" s="9">
        <v>7</v>
      </c>
      <c r="L202" s="10" t="s">
        <v>1317</v>
      </c>
      <c r="M202" s="9">
        <v>5</v>
      </c>
      <c r="N202" s="9" t="s">
        <v>62</v>
      </c>
      <c r="O202" s="10" t="s">
        <v>1318</v>
      </c>
      <c r="P202" s="10" t="s">
        <v>1319</v>
      </c>
      <c r="Q202" s="9">
        <v>3</v>
      </c>
      <c r="R202" s="10"/>
      <c r="S202" s="10"/>
      <c r="T202" s="9"/>
      <c r="U202" s="9"/>
    </row>
    <row r="203" spans="1:21" ht="52.8" x14ac:dyDescent="0.3">
      <c r="A203" s="17" t="s">
        <v>1320</v>
      </c>
      <c r="B203" s="18">
        <v>11</v>
      </c>
      <c r="C203" s="9" t="s">
        <v>54</v>
      </c>
      <c r="D203" s="9" t="s">
        <v>55</v>
      </c>
      <c r="E203" s="9" t="s">
        <v>1293</v>
      </c>
      <c r="F203" s="9" t="s">
        <v>1321</v>
      </c>
      <c r="G203" s="9" t="s">
        <v>1321</v>
      </c>
      <c r="H203" s="9">
        <v>202</v>
      </c>
      <c r="I203" s="10" t="s">
        <v>1322</v>
      </c>
      <c r="J203" s="10" t="s">
        <v>1323</v>
      </c>
      <c r="K203" s="9">
        <v>3</v>
      </c>
      <c r="L203" s="10" t="s">
        <v>1324</v>
      </c>
      <c r="M203" s="9">
        <v>4</v>
      </c>
      <c r="N203" s="9" t="s">
        <v>62</v>
      </c>
      <c r="O203" s="10" t="s">
        <v>607</v>
      </c>
      <c r="P203" s="10" t="s">
        <v>60</v>
      </c>
      <c r="Q203" s="9">
        <v>0</v>
      </c>
      <c r="R203" s="10"/>
      <c r="S203" s="10"/>
      <c r="T203" s="9"/>
      <c r="U203" s="9"/>
    </row>
    <row r="204" spans="1:21" ht="92.4" x14ac:dyDescent="0.3">
      <c r="A204" s="17" t="s">
        <v>1325</v>
      </c>
      <c r="B204" s="18">
        <v>11</v>
      </c>
      <c r="C204" s="9" t="s">
        <v>54</v>
      </c>
      <c r="D204" s="9" t="s">
        <v>55</v>
      </c>
      <c r="E204" s="9" t="s">
        <v>1293</v>
      </c>
      <c r="F204" s="9" t="s">
        <v>1326</v>
      </c>
      <c r="G204" s="9" t="s">
        <v>1326</v>
      </c>
      <c r="H204" s="9">
        <v>203</v>
      </c>
      <c r="I204" s="10" t="s">
        <v>1327</v>
      </c>
      <c r="J204" s="10" t="s">
        <v>1328</v>
      </c>
      <c r="K204" s="9">
        <v>7</v>
      </c>
      <c r="L204" s="10" t="s">
        <v>1329</v>
      </c>
      <c r="M204" s="9">
        <v>7</v>
      </c>
      <c r="N204" s="9" t="s">
        <v>62</v>
      </c>
      <c r="O204" s="10" t="s">
        <v>1330</v>
      </c>
      <c r="P204" s="10" t="s">
        <v>1331</v>
      </c>
      <c r="Q204" s="9">
        <v>3</v>
      </c>
      <c r="R204" s="10" t="s">
        <v>1332</v>
      </c>
      <c r="S204" s="10"/>
      <c r="T204" s="9"/>
      <c r="U204" s="9"/>
    </row>
    <row r="205" spans="1:21" ht="52.8" x14ac:dyDescent="0.3">
      <c r="A205" s="17" t="s">
        <v>1333</v>
      </c>
      <c r="B205" s="18">
        <v>11</v>
      </c>
      <c r="C205" s="9" t="s">
        <v>54</v>
      </c>
      <c r="D205" s="9" t="s">
        <v>381</v>
      </c>
      <c r="E205" s="9" t="s">
        <v>1334</v>
      </c>
      <c r="F205" s="9" t="s">
        <v>1335</v>
      </c>
      <c r="G205" s="9" t="s">
        <v>1336</v>
      </c>
      <c r="H205" s="9">
        <v>204</v>
      </c>
      <c r="I205" s="10" t="s">
        <v>1337</v>
      </c>
      <c r="J205" s="10" t="s">
        <v>1338</v>
      </c>
      <c r="K205" s="9">
        <v>3</v>
      </c>
      <c r="L205" s="10" t="s">
        <v>1339</v>
      </c>
      <c r="M205" s="9">
        <v>4</v>
      </c>
      <c r="N205" s="9" t="s">
        <v>76</v>
      </c>
      <c r="O205" s="10" t="s">
        <v>1340</v>
      </c>
      <c r="P205" s="10" t="s">
        <v>60</v>
      </c>
      <c r="Q205" s="9">
        <v>0</v>
      </c>
      <c r="R205" s="10"/>
      <c r="S205" s="10"/>
      <c r="T205" s="9"/>
      <c r="U205" s="9"/>
    </row>
    <row r="206" spans="1:21" ht="52.8" x14ac:dyDescent="0.3">
      <c r="A206" s="17" t="s">
        <v>1341</v>
      </c>
      <c r="B206" s="18">
        <v>11</v>
      </c>
      <c r="C206" s="9" t="s">
        <v>54</v>
      </c>
      <c r="D206" s="9" t="s">
        <v>381</v>
      </c>
      <c r="E206" s="9" t="s">
        <v>1334</v>
      </c>
      <c r="F206" s="9" t="s">
        <v>1335</v>
      </c>
      <c r="G206" s="9" t="s">
        <v>1342</v>
      </c>
      <c r="H206" s="9">
        <v>205</v>
      </c>
      <c r="I206" s="10" t="s">
        <v>1343</v>
      </c>
      <c r="J206" s="10" t="s">
        <v>1344</v>
      </c>
      <c r="K206" s="9">
        <v>4</v>
      </c>
      <c r="L206" s="10" t="s">
        <v>1345</v>
      </c>
      <c r="M206" s="9">
        <v>4</v>
      </c>
      <c r="N206" s="9" t="s">
        <v>62</v>
      </c>
      <c r="O206" s="10" t="s">
        <v>1346</v>
      </c>
      <c r="P206" s="10" t="s">
        <v>1347</v>
      </c>
      <c r="Q206" s="9">
        <v>1</v>
      </c>
      <c r="R206" s="10"/>
      <c r="S206" s="10"/>
      <c r="T206" s="9"/>
      <c r="U206" s="9"/>
    </row>
    <row r="207" spans="1:21" ht="92.4" x14ac:dyDescent="0.3">
      <c r="A207" s="17" t="s">
        <v>1348</v>
      </c>
      <c r="B207" s="18">
        <v>11</v>
      </c>
      <c r="C207" s="9" t="s">
        <v>54</v>
      </c>
      <c r="D207" s="9" t="s">
        <v>381</v>
      </c>
      <c r="E207" s="9" t="s">
        <v>1334</v>
      </c>
      <c r="F207" s="9" t="s">
        <v>1335</v>
      </c>
      <c r="G207" s="9" t="s">
        <v>1349</v>
      </c>
      <c r="H207" s="9">
        <v>206</v>
      </c>
      <c r="I207" s="10" t="s">
        <v>1350</v>
      </c>
      <c r="J207" s="10" t="s">
        <v>1351</v>
      </c>
      <c r="K207" s="9">
        <v>7</v>
      </c>
      <c r="L207" s="10" t="s">
        <v>1352</v>
      </c>
      <c r="M207" s="9">
        <v>5</v>
      </c>
      <c r="N207" s="9" t="s">
        <v>62</v>
      </c>
      <c r="O207" s="10" t="s">
        <v>1353</v>
      </c>
      <c r="P207" s="10" t="s">
        <v>1354</v>
      </c>
      <c r="Q207" s="9">
        <v>2</v>
      </c>
      <c r="R207" s="10"/>
      <c r="S207" s="10"/>
      <c r="T207" s="9"/>
      <c r="U207" s="9"/>
    </row>
    <row r="208" spans="1:21" ht="66" x14ac:dyDescent="0.3">
      <c r="A208" s="17" t="s">
        <v>1355</v>
      </c>
      <c r="B208" s="18">
        <v>11</v>
      </c>
      <c r="C208" s="9" t="s">
        <v>54</v>
      </c>
      <c r="D208" s="9" t="s">
        <v>381</v>
      </c>
      <c r="E208" s="9" t="s">
        <v>1334</v>
      </c>
      <c r="F208" s="9" t="s">
        <v>1356</v>
      </c>
      <c r="G208" s="9" t="s">
        <v>1357</v>
      </c>
      <c r="H208" s="9">
        <v>207</v>
      </c>
      <c r="I208" s="10" t="s">
        <v>1358</v>
      </c>
      <c r="J208" s="10" t="s">
        <v>1359</v>
      </c>
      <c r="K208" s="9">
        <v>3</v>
      </c>
      <c r="L208" s="10" t="s">
        <v>1360</v>
      </c>
      <c r="M208" s="9">
        <v>3</v>
      </c>
      <c r="N208" s="9" t="s">
        <v>62</v>
      </c>
      <c r="O208" s="10" t="s">
        <v>1361</v>
      </c>
      <c r="P208" s="10" t="s">
        <v>1362</v>
      </c>
      <c r="Q208" s="9">
        <v>2</v>
      </c>
      <c r="R208" s="10"/>
      <c r="S208" s="10"/>
      <c r="T208" s="9"/>
      <c r="U208" s="9"/>
    </row>
    <row r="209" spans="1:21" ht="105.6" x14ac:dyDescent="0.3">
      <c r="A209" s="17" t="s">
        <v>1363</v>
      </c>
      <c r="B209" s="18">
        <v>11</v>
      </c>
      <c r="C209" s="9" t="s">
        <v>54</v>
      </c>
      <c r="D209" s="9" t="s">
        <v>381</v>
      </c>
      <c r="E209" s="9" t="s">
        <v>1334</v>
      </c>
      <c r="F209" s="9" t="s">
        <v>1356</v>
      </c>
      <c r="G209" s="9" t="s">
        <v>1364</v>
      </c>
      <c r="H209" s="9">
        <v>208</v>
      </c>
      <c r="I209" s="10" t="s">
        <v>1365</v>
      </c>
      <c r="J209" s="10" t="s">
        <v>1366</v>
      </c>
      <c r="K209" s="9">
        <v>8</v>
      </c>
      <c r="L209" s="10" t="s">
        <v>1367</v>
      </c>
      <c r="M209" s="9">
        <v>3</v>
      </c>
      <c r="N209" s="9" t="s">
        <v>62</v>
      </c>
      <c r="O209" s="10" t="s">
        <v>1368</v>
      </c>
      <c r="P209" s="10" t="s">
        <v>60</v>
      </c>
      <c r="Q209" s="9">
        <v>0</v>
      </c>
      <c r="R209" s="10"/>
      <c r="S209" s="10"/>
      <c r="T209" s="9"/>
      <c r="U209" s="9"/>
    </row>
    <row r="210" spans="1:21" ht="92.4" x14ac:dyDescent="0.3">
      <c r="A210" s="17" t="s">
        <v>1369</v>
      </c>
      <c r="B210" s="18">
        <v>11</v>
      </c>
      <c r="C210" s="9" t="s">
        <v>54</v>
      </c>
      <c r="D210" s="9" t="s">
        <v>381</v>
      </c>
      <c r="E210" s="9" t="s">
        <v>1334</v>
      </c>
      <c r="F210" s="9" t="s">
        <v>1356</v>
      </c>
      <c r="G210" s="9" t="s">
        <v>1370</v>
      </c>
      <c r="H210" s="9">
        <v>209</v>
      </c>
      <c r="I210" s="10" t="s">
        <v>1371</v>
      </c>
      <c r="J210" s="10" t="s">
        <v>1372</v>
      </c>
      <c r="K210" s="9">
        <v>6</v>
      </c>
      <c r="L210" s="10" t="s">
        <v>1373</v>
      </c>
      <c r="M210" s="9">
        <v>6</v>
      </c>
      <c r="N210" s="9" t="s">
        <v>62</v>
      </c>
      <c r="O210" s="10" t="s">
        <v>1374</v>
      </c>
      <c r="P210" s="10" t="s">
        <v>1375</v>
      </c>
      <c r="Q210" s="9">
        <v>2</v>
      </c>
      <c r="R210" s="10"/>
      <c r="S210" s="10"/>
      <c r="T210" s="9"/>
      <c r="U210" s="9"/>
    </row>
    <row r="211" spans="1:21" ht="66" x14ac:dyDescent="0.3">
      <c r="A211" s="17" t="s">
        <v>1376</v>
      </c>
      <c r="B211" s="18">
        <v>11</v>
      </c>
      <c r="C211" s="9" t="s">
        <v>54</v>
      </c>
      <c r="D211" s="9" t="s">
        <v>381</v>
      </c>
      <c r="E211" s="9" t="s">
        <v>1334</v>
      </c>
      <c r="F211" s="9" t="s">
        <v>1356</v>
      </c>
      <c r="G211" s="9" t="s">
        <v>1377</v>
      </c>
      <c r="H211" s="9">
        <v>210</v>
      </c>
      <c r="I211" s="10" t="s">
        <v>1378</v>
      </c>
      <c r="J211" s="10" t="s">
        <v>1379</v>
      </c>
      <c r="K211" s="9">
        <v>2</v>
      </c>
      <c r="L211" s="10" t="s">
        <v>1380</v>
      </c>
      <c r="M211" s="9">
        <v>5</v>
      </c>
      <c r="N211" s="9" t="s">
        <v>62</v>
      </c>
      <c r="O211" s="10" t="s">
        <v>1381</v>
      </c>
      <c r="P211" s="10" t="s">
        <v>1382</v>
      </c>
      <c r="Q211" s="9">
        <v>2</v>
      </c>
      <c r="R211" s="10" t="s">
        <v>1383</v>
      </c>
      <c r="S211" s="10"/>
      <c r="T211" s="9"/>
      <c r="U211" s="9"/>
    </row>
    <row r="212" spans="1:21" ht="92.4" x14ac:dyDescent="0.3">
      <c r="A212" s="17" t="s">
        <v>1044</v>
      </c>
      <c r="B212" s="18">
        <v>11</v>
      </c>
      <c r="C212" s="9" t="s">
        <v>54</v>
      </c>
      <c r="D212" s="9" t="s">
        <v>175</v>
      </c>
      <c r="E212" s="9" t="s">
        <v>1384</v>
      </c>
      <c r="F212" s="9" t="s">
        <v>1385</v>
      </c>
      <c r="G212" s="9" t="s">
        <v>1385</v>
      </c>
      <c r="H212" s="9">
        <v>211</v>
      </c>
      <c r="I212" s="10" t="s">
        <v>1386</v>
      </c>
      <c r="J212" s="10" t="s">
        <v>1387</v>
      </c>
      <c r="K212" s="9">
        <v>6</v>
      </c>
      <c r="L212" s="10" t="s">
        <v>1388</v>
      </c>
      <c r="M212" s="9">
        <v>6</v>
      </c>
      <c r="N212" s="9" t="s">
        <v>62</v>
      </c>
      <c r="O212" s="10" t="s">
        <v>1389</v>
      </c>
      <c r="P212" s="10" t="s">
        <v>1390</v>
      </c>
      <c r="Q212" s="9">
        <v>2</v>
      </c>
      <c r="R212" s="10"/>
      <c r="S212" s="10"/>
      <c r="T212" s="9" t="s">
        <v>1039</v>
      </c>
      <c r="U212" s="9"/>
    </row>
    <row r="213" spans="1:21" ht="66" x14ac:dyDescent="0.3">
      <c r="A213" s="17" t="s">
        <v>1391</v>
      </c>
      <c r="B213" s="18">
        <v>11</v>
      </c>
      <c r="C213" s="9" t="s">
        <v>54</v>
      </c>
      <c r="D213" s="9" t="s">
        <v>175</v>
      </c>
      <c r="E213" s="9" t="s">
        <v>1384</v>
      </c>
      <c r="F213" s="9" t="s">
        <v>1392</v>
      </c>
      <c r="G213" s="9" t="s">
        <v>1392</v>
      </c>
      <c r="H213" s="9">
        <v>212</v>
      </c>
      <c r="I213" s="10" t="s">
        <v>1393</v>
      </c>
      <c r="J213" s="10" t="s">
        <v>1394</v>
      </c>
      <c r="K213" s="9">
        <v>5</v>
      </c>
      <c r="L213" s="10" t="s">
        <v>1395</v>
      </c>
      <c r="M213" s="9">
        <v>4</v>
      </c>
      <c r="N213" s="9" t="s">
        <v>62</v>
      </c>
      <c r="O213" s="10" t="s">
        <v>1396</v>
      </c>
      <c r="P213" s="10" t="s">
        <v>1397</v>
      </c>
      <c r="Q213" s="9">
        <v>1</v>
      </c>
      <c r="R213" s="10"/>
      <c r="S213" s="10"/>
      <c r="T213" s="9"/>
      <c r="U213" s="9"/>
    </row>
    <row r="214" spans="1:21" ht="105.6" x14ac:dyDescent="0.3">
      <c r="A214" s="17" t="s">
        <v>1398</v>
      </c>
      <c r="B214" s="18">
        <v>11</v>
      </c>
      <c r="C214" s="9" t="s">
        <v>54</v>
      </c>
      <c r="D214" s="9" t="s">
        <v>175</v>
      </c>
      <c r="E214" s="9" t="s">
        <v>1384</v>
      </c>
      <c r="F214" s="9" t="s">
        <v>1399</v>
      </c>
      <c r="G214" s="9" t="s">
        <v>1399</v>
      </c>
      <c r="H214" s="9">
        <v>213</v>
      </c>
      <c r="I214" s="10" t="s">
        <v>1400</v>
      </c>
      <c r="J214" s="10" t="s">
        <v>1401</v>
      </c>
      <c r="K214" s="9">
        <v>6</v>
      </c>
      <c r="L214" s="10" t="s">
        <v>1402</v>
      </c>
      <c r="M214" s="9">
        <v>7</v>
      </c>
      <c r="N214" s="9" t="s">
        <v>62</v>
      </c>
      <c r="O214" s="10" t="s">
        <v>1403</v>
      </c>
      <c r="P214" s="10" t="s">
        <v>1404</v>
      </c>
      <c r="Q214" s="9">
        <v>3</v>
      </c>
      <c r="R214" s="10"/>
      <c r="S214" s="10"/>
      <c r="T214" s="9"/>
      <c r="U214" s="9"/>
    </row>
    <row r="215" spans="1:21" ht="79.2" x14ac:dyDescent="0.3">
      <c r="A215" s="17" t="s">
        <v>1405</v>
      </c>
      <c r="B215" s="18">
        <v>11</v>
      </c>
      <c r="C215" s="9" t="s">
        <v>54</v>
      </c>
      <c r="D215" s="9" t="s">
        <v>175</v>
      </c>
      <c r="E215" s="9" t="s">
        <v>1384</v>
      </c>
      <c r="F215" s="9" t="s">
        <v>1406</v>
      </c>
      <c r="G215" s="9" t="s">
        <v>1406</v>
      </c>
      <c r="H215" s="9">
        <v>214</v>
      </c>
      <c r="I215" s="10" t="s">
        <v>1407</v>
      </c>
      <c r="J215" s="10" t="s">
        <v>1408</v>
      </c>
      <c r="K215" s="9">
        <v>4</v>
      </c>
      <c r="L215" s="10" t="s">
        <v>1409</v>
      </c>
      <c r="M215" s="9">
        <v>4</v>
      </c>
      <c r="N215" s="9" t="s">
        <v>126</v>
      </c>
      <c r="O215" s="10" t="s">
        <v>1410</v>
      </c>
      <c r="P215" s="10" t="s">
        <v>60</v>
      </c>
      <c r="Q215" s="9">
        <v>0</v>
      </c>
      <c r="R215" s="10" t="s">
        <v>1411</v>
      </c>
      <c r="S215" s="10"/>
      <c r="T215" s="9"/>
      <c r="U215" s="9"/>
    </row>
    <row r="216" spans="1:21" ht="79.2" x14ac:dyDescent="0.3">
      <c r="A216" s="17" t="s">
        <v>1412</v>
      </c>
      <c r="B216" s="18">
        <v>11</v>
      </c>
      <c r="C216" s="9" t="s">
        <v>238</v>
      </c>
      <c r="D216" s="9" t="s">
        <v>239</v>
      </c>
      <c r="E216" s="9" t="s">
        <v>1413</v>
      </c>
      <c r="F216" s="9" t="s">
        <v>467</v>
      </c>
      <c r="G216" s="9" t="s">
        <v>467</v>
      </c>
      <c r="H216" s="9">
        <v>215</v>
      </c>
      <c r="I216" s="10" t="s">
        <v>1414</v>
      </c>
      <c r="J216" s="10" t="s">
        <v>1415</v>
      </c>
      <c r="K216" s="9">
        <v>5</v>
      </c>
      <c r="L216" s="10" t="s">
        <v>1416</v>
      </c>
      <c r="M216" s="9">
        <v>5</v>
      </c>
      <c r="N216" s="9" t="s">
        <v>62</v>
      </c>
      <c r="O216" s="10" t="s">
        <v>607</v>
      </c>
      <c r="P216" s="10" t="s">
        <v>60</v>
      </c>
      <c r="Q216" s="9">
        <v>0</v>
      </c>
      <c r="R216" s="10"/>
      <c r="S216" s="10"/>
      <c r="T216" s="9" t="s">
        <v>1417</v>
      </c>
      <c r="U216" s="9"/>
    </row>
    <row r="217" spans="1:21" ht="66" x14ac:dyDescent="0.3">
      <c r="A217" s="17" t="s">
        <v>1418</v>
      </c>
      <c r="B217" s="18">
        <v>11</v>
      </c>
      <c r="C217" s="9" t="s">
        <v>238</v>
      </c>
      <c r="D217" s="9" t="s">
        <v>239</v>
      </c>
      <c r="E217" s="9" t="s">
        <v>1413</v>
      </c>
      <c r="F217" s="9" t="s">
        <v>1419</v>
      </c>
      <c r="G217" s="9" t="s">
        <v>1419</v>
      </c>
      <c r="H217" s="9">
        <v>216</v>
      </c>
      <c r="I217" s="10" t="s">
        <v>1420</v>
      </c>
      <c r="J217" s="10" t="s">
        <v>1421</v>
      </c>
      <c r="K217" s="9">
        <v>5</v>
      </c>
      <c r="L217" s="10" t="s">
        <v>1422</v>
      </c>
      <c r="M217" s="9">
        <v>5</v>
      </c>
      <c r="N217" s="9" t="s">
        <v>62</v>
      </c>
      <c r="O217" s="10" t="s">
        <v>1423</v>
      </c>
      <c r="P217" s="10" t="s">
        <v>1424</v>
      </c>
      <c r="Q217" s="9">
        <v>2</v>
      </c>
      <c r="R217" s="10"/>
      <c r="S217" s="10"/>
      <c r="T217" s="9"/>
      <c r="U217" s="9"/>
    </row>
    <row r="218" spans="1:21" ht="66" x14ac:dyDescent="0.3">
      <c r="A218" s="17" t="s">
        <v>1425</v>
      </c>
      <c r="B218" s="18">
        <v>11</v>
      </c>
      <c r="C218" s="9" t="s">
        <v>238</v>
      </c>
      <c r="D218" s="9" t="s">
        <v>239</v>
      </c>
      <c r="E218" s="9" t="s">
        <v>1413</v>
      </c>
      <c r="F218" s="9" t="s">
        <v>1426</v>
      </c>
      <c r="G218" s="9" t="s">
        <v>1426</v>
      </c>
      <c r="H218" s="9">
        <v>217</v>
      </c>
      <c r="I218" s="10" t="s">
        <v>1427</v>
      </c>
      <c r="J218" s="10" t="s">
        <v>1428</v>
      </c>
      <c r="K218" s="9">
        <v>5</v>
      </c>
      <c r="L218" s="10" t="s">
        <v>1429</v>
      </c>
      <c r="M218" s="9">
        <v>4</v>
      </c>
      <c r="N218" s="9" t="s">
        <v>62</v>
      </c>
      <c r="O218" s="10" t="s">
        <v>1430</v>
      </c>
      <c r="P218" s="10" t="s">
        <v>60</v>
      </c>
      <c r="Q218" s="9">
        <v>0</v>
      </c>
      <c r="R218" s="10"/>
      <c r="S218" s="10"/>
      <c r="T218" s="9"/>
      <c r="U218" s="9"/>
    </row>
    <row r="219" spans="1:21" ht="66" x14ac:dyDescent="0.3">
      <c r="A219" s="17" t="s">
        <v>1431</v>
      </c>
      <c r="B219" s="18">
        <v>11</v>
      </c>
      <c r="C219" s="9" t="s">
        <v>238</v>
      </c>
      <c r="D219" s="9" t="s">
        <v>239</v>
      </c>
      <c r="E219" s="9" t="s">
        <v>1413</v>
      </c>
      <c r="F219" s="9" t="s">
        <v>1432</v>
      </c>
      <c r="G219" s="9" t="s">
        <v>1432</v>
      </c>
      <c r="H219" s="9">
        <v>218</v>
      </c>
      <c r="I219" s="10" t="s">
        <v>1433</v>
      </c>
      <c r="J219" s="10" t="s">
        <v>1434</v>
      </c>
      <c r="K219" s="9">
        <v>5</v>
      </c>
      <c r="L219" s="10" t="s">
        <v>1435</v>
      </c>
      <c r="M219" s="9">
        <v>4</v>
      </c>
      <c r="N219" s="9" t="s">
        <v>62</v>
      </c>
      <c r="O219" s="10" t="s">
        <v>1436</v>
      </c>
      <c r="P219" s="10" t="s">
        <v>1437</v>
      </c>
      <c r="Q219" s="9">
        <v>2</v>
      </c>
      <c r="R219" s="10"/>
      <c r="S219" s="10"/>
      <c r="T219" s="9"/>
      <c r="U219" s="9"/>
    </row>
    <row r="220" spans="1:21" ht="79.2" x14ac:dyDescent="0.3">
      <c r="A220" s="17" t="s">
        <v>1438</v>
      </c>
      <c r="B220" s="18">
        <v>11</v>
      </c>
      <c r="C220" s="9" t="s">
        <v>238</v>
      </c>
      <c r="D220" s="9" t="s">
        <v>239</v>
      </c>
      <c r="E220" s="9" t="s">
        <v>1413</v>
      </c>
      <c r="F220" s="9" t="s">
        <v>1439</v>
      </c>
      <c r="G220" s="9" t="s">
        <v>1439</v>
      </c>
      <c r="H220" s="9">
        <v>219</v>
      </c>
      <c r="I220" s="10" t="s">
        <v>1440</v>
      </c>
      <c r="J220" s="10" t="s">
        <v>1441</v>
      </c>
      <c r="K220" s="9">
        <v>5</v>
      </c>
      <c r="L220" s="10" t="s">
        <v>1442</v>
      </c>
      <c r="M220" s="9">
        <v>5</v>
      </c>
      <c r="N220" s="9" t="s">
        <v>62</v>
      </c>
      <c r="O220" s="10" t="s">
        <v>1443</v>
      </c>
      <c r="P220" s="10" t="s">
        <v>1444</v>
      </c>
      <c r="Q220" s="9">
        <v>2</v>
      </c>
      <c r="R220" s="10"/>
      <c r="S220" s="10"/>
      <c r="T220" s="9"/>
      <c r="U220" s="9"/>
    </row>
    <row r="221" spans="1:21" ht="66" x14ac:dyDescent="0.3">
      <c r="A221" s="17" t="s">
        <v>1445</v>
      </c>
      <c r="B221" s="18">
        <v>11</v>
      </c>
      <c r="C221" s="9" t="s">
        <v>238</v>
      </c>
      <c r="D221" s="9" t="s">
        <v>239</v>
      </c>
      <c r="E221" s="9" t="s">
        <v>1413</v>
      </c>
      <c r="F221" s="9" t="s">
        <v>1446</v>
      </c>
      <c r="G221" s="9" t="s">
        <v>1446</v>
      </c>
      <c r="H221" s="9">
        <v>220</v>
      </c>
      <c r="I221" s="10" t="s">
        <v>1447</v>
      </c>
      <c r="J221" s="10" t="s">
        <v>1448</v>
      </c>
      <c r="K221" s="9">
        <v>4</v>
      </c>
      <c r="L221" s="10" t="s">
        <v>1449</v>
      </c>
      <c r="M221" s="9">
        <v>5</v>
      </c>
      <c r="N221" s="9" t="s">
        <v>62</v>
      </c>
      <c r="O221" s="10" t="s">
        <v>1450</v>
      </c>
      <c r="P221" s="10" t="s">
        <v>1451</v>
      </c>
      <c r="Q221" s="9">
        <v>2</v>
      </c>
      <c r="R221" s="10" t="s">
        <v>1452</v>
      </c>
      <c r="S221" s="10"/>
      <c r="T221" s="9"/>
      <c r="U221" s="9"/>
    </row>
    <row r="222" spans="1:21" ht="79.2" x14ac:dyDescent="0.3">
      <c r="A222" s="17" t="s">
        <v>688</v>
      </c>
      <c r="B222" s="18">
        <v>11</v>
      </c>
      <c r="C222" s="9" t="s">
        <v>238</v>
      </c>
      <c r="D222" s="9" t="s">
        <v>239</v>
      </c>
      <c r="E222" s="9" t="s">
        <v>1413</v>
      </c>
      <c r="F222" s="9" t="s">
        <v>1453</v>
      </c>
      <c r="G222" s="9" t="s">
        <v>1453</v>
      </c>
      <c r="H222" s="9">
        <v>221</v>
      </c>
      <c r="I222" s="10" t="s">
        <v>1454</v>
      </c>
      <c r="J222" s="10" t="s">
        <v>1455</v>
      </c>
      <c r="K222" s="9">
        <v>5</v>
      </c>
      <c r="L222" s="10" t="s">
        <v>1456</v>
      </c>
      <c r="M222" s="9">
        <v>4</v>
      </c>
      <c r="N222" s="9" t="s">
        <v>62</v>
      </c>
      <c r="O222" s="10" t="s">
        <v>1457</v>
      </c>
      <c r="P222" s="10" t="s">
        <v>1458</v>
      </c>
      <c r="Q222" s="9">
        <v>2</v>
      </c>
      <c r="R222" s="10"/>
      <c r="S222" s="10"/>
      <c r="T222" s="9" t="s">
        <v>681</v>
      </c>
      <c r="U222" s="9"/>
    </row>
    <row r="223" spans="1:21" ht="52.8" x14ac:dyDescent="0.3">
      <c r="A223" s="17" t="s">
        <v>1459</v>
      </c>
      <c r="B223" s="18">
        <v>11</v>
      </c>
      <c r="C223" s="9" t="s">
        <v>238</v>
      </c>
      <c r="D223" s="9" t="s">
        <v>239</v>
      </c>
      <c r="E223" s="9" t="s">
        <v>1413</v>
      </c>
      <c r="F223" s="9" t="s">
        <v>1460</v>
      </c>
      <c r="G223" s="9" t="s">
        <v>1460</v>
      </c>
      <c r="H223" s="9">
        <v>222</v>
      </c>
      <c r="I223" s="10" t="s">
        <v>1461</v>
      </c>
      <c r="J223" s="10" t="s">
        <v>1462</v>
      </c>
      <c r="K223" s="9">
        <v>4</v>
      </c>
      <c r="L223" s="10" t="s">
        <v>1463</v>
      </c>
      <c r="M223" s="9">
        <v>4</v>
      </c>
      <c r="N223" s="9" t="s">
        <v>62</v>
      </c>
      <c r="O223" s="10" t="s">
        <v>1464</v>
      </c>
      <c r="P223" s="10" t="s">
        <v>1465</v>
      </c>
      <c r="Q223" s="9">
        <v>2</v>
      </c>
      <c r="R223" s="10" t="s">
        <v>1466</v>
      </c>
      <c r="S223" s="10"/>
      <c r="T223" s="9"/>
      <c r="U223" s="9"/>
    </row>
    <row r="224" spans="1:21" ht="92.4" x14ac:dyDescent="0.3">
      <c r="A224" s="17" t="s">
        <v>1467</v>
      </c>
      <c r="B224" s="18">
        <v>11</v>
      </c>
      <c r="C224" s="9" t="s">
        <v>238</v>
      </c>
      <c r="D224" s="9" t="s">
        <v>318</v>
      </c>
      <c r="E224" s="9" t="s">
        <v>1468</v>
      </c>
      <c r="F224" s="9" t="s">
        <v>1469</v>
      </c>
      <c r="G224" s="9" t="s">
        <v>1469</v>
      </c>
      <c r="H224" s="9">
        <v>223</v>
      </c>
      <c r="I224" s="10" t="s">
        <v>1470</v>
      </c>
      <c r="J224" s="10" t="s">
        <v>1471</v>
      </c>
      <c r="K224" s="9">
        <v>5</v>
      </c>
      <c r="L224" s="10" t="s">
        <v>1472</v>
      </c>
      <c r="M224" s="9">
        <v>4</v>
      </c>
      <c r="N224" s="9" t="s">
        <v>62</v>
      </c>
      <c r="O224" s="10" t="s">
        <v>1473</v>
      </c>
      <c r="P224" s="10" t="s">
        <v>1474</v>
      </c>
      <c r="Q224" s="9">
        <v>2</v>
      </c>
      <c r="R224" s="10"/>
      <c r="S224" s="10"/>
      <c r="T224" s="9"/>
      <c r="U224" s="9"/>
    </row>
    <row r="225" spans="1:21" ht="66" x14ac:dyDescent="0.3">
      <c r="A225" s="17" t="s">
        <v>1475</v>
      </c>
      <c r="B225" s="18">
        <v>11</v>
      </c>
      <c r="C225" s="9" t="s">
        <v>238</v>
      </c>
      <c r="D225" s="9" t="s">
        <v>318</v>
      </c>
      <c r="E225" s="9" t="s">
        <v>1468</v>
      </c>
      <c r="F225" s="9" t="s">
        <v>1476</v>
      </c>
      <c r="G225" s="9" t="s">
        <v>1476</v>
      </c>
      <c r="H225" s="9">
        <v>224</v>
      </c>
      <c r="I225" s="10" t="s">
        <v>1477</v>
      </c>
      <c r="J225" s="10" t="s">
        <v>1478</v>
      </c>
      <c r="K225" s="9">
        <v>1</v>
      </c>
      <c r="L225" s="10" t="s">
        <v>1479</v>
      </c>
      <c r="M225" s="9">
        <v>5</v>
      </c>
      <c r="N225" s="9" t="s">
        <v>62</v>
      </c>
      <c r="O225" s="10" t="s">
        <v>1480</v>
      </c>
      <c r="P225" s="10" t="s">
        <v>1481</v>
      </c>
      <c r="Q225" s="9">
        <v>2</v>
      </c>
      <c r="R225" s="10"/>
      <c r="S225" s="10"/>
      <c r="T225" s="9"/>
      <c r="U225" s="9"/>
    </row>
    <row r="226" spans="1:21" ht="92.4" x14ac:dyDescent="0.3">
      <c r="A226" s="17" t="s">
        <v>1482</v>
      </c>
      <c r="B226" s="18">
        <v>11</v>
      </c>
      <c r="C226" s="9" t="s">
        <v>238</v>
      </c>
      <c r="D226" s="9" t="s">
        <v>318</v>
      </c>
      <c r="E226" s="9" t="s">
        <v>1468</v>
      </c>
      <c r="F226" s="9" t="s">
        <v>1483</v>
      </c>
      <c r="G226" s="9" t="s">
        <v>1483</v>
      </c>
      <c r="H226" s="9">
        <v>225</v>
      </c>
      <c r="I226" s="10" t="s">
        <v>1484</v>
      </c>
      <c r="J226" s="10" t="s">
        <v>1485</v>
      </c>
      <c r="K226" s="9">
        <v>6</v>
      </c>
      <c r="L226" s="10" t="s">
        <v>1486</v>
      </c>
      <c r="M226" s="9">
        <v>6</v>
      </c>
      <c r="N226" s="9" t="s">
        <v>62</v>
      </c>
      <c r="O226" s="10" t="s">
        <v>1487</v>
      </c>
      <c r="P226" s="10" t="s">
        <v>1488</v>
      </c>
      <c r="Q226" s="9">
        <v>3</v>
      </c>
      <c r="R226" s="10"/>
      <c r="S226" s="10"/>
      <c r="T226" s="9"/>
      <c r="U226" s="9"/>
    </row>
    <row r="227" spans="1:21" ht="79.2" x14ac:dyDescent="0.3">
      <c r="A227" s="17" t="s">
        <v>1489</v>
      </c>
      <c r="B227" s="18">
        <v>11</v>
      </c>
      <c r="C227" s="9" t="s">
        <v>238</v>
      </c>
      <c r="D227" s="9" t="s">
        <v>318</v>
      </c>
      <c r="E227" s="9" t="s">
        <v>1468</v>
      </c>
      <c r="F227" s="9" t="s">
        <v>1490</v>
      </c>
      <c r="G227" s="9" t="s">
        <v>1490</v>
      </c>
      <c r="H227" s="9">
        <v>226</v>
      </c>
      <c r="I227" s="10" t="s">
        <v>1491</v>
      </c>
      <c r="J227" s="10" t="s">
        <v>1492</v>
      </c>
      <c r="K227" s="9">
        <v>6</v>
      </c>
      <c r="L227" s="10" t="s">
        <v>1493</v>
      </c>
      <c r="M227" s="9">
        <v>5</v>
      </c>
      <c r="N227" s="9" t="s">
        <v>62</v>
      </c>
      <c r="O227" s="10" t="s">
        <v>1494</v>
      </c>
      <c r="P227" s="10" t="s">
        <v>1495</v>
      </c>
      <c r="Q227" s="9">
        <v>2</v>
      </c>
      <c r="R227" s="10" t="s">
        <v>1496</v>
      </c>
      <c r="S227" s="10"/>
      <c r="T227" s="9"/>
      <c r="U227" s="9"/>
    </row>
    <row r="228" spans="1:21" ht="132" x14ac:dyDescent="0.3">
      <c r="A228" s="19" t="s">
        <v>1497</v>
      </c>
      <c r="B228" s="20">
        <v>12</v>
      </c>
      <c r="C228" s="9" t="s">
        <v>54</v>
      </c>
      <c r="D228" s="9" t="s">
        <v>55</v>
      </c>
      <c r="E228" s="9" t="s">
        <v>1498</v>
      </c>
      <c r="F228" s="9" t="s">
        <v>1499</v>
      </c>
      <c r="G228" s="9" t="s">
        <v>1499</v>
      </c>
      <c r="H228" s="9">
        <v>227</v>
      </c>
      <c r="I228" s="10" t="s">
        <v>1500</v>
      </c>
      <c r="J228" s="10" t="s">
        <v>1501</v>
      </c>
      <c r="K228" s="9">
        <v>10</v>
      </c>
      <c r="L228" s="10" t="s">
        <v>1502</v>
      </c>
      <c r="M228" s="9">
        <v>7</v>
      </c>
      <c r="N228" s="9" t="s">
        <v>62</v>
      </c>
      <c r="O228" s="10" t="s">
        <v>1503</v>
      </c>
      <c r="P228" s="10" t="s">
        <v>1504</v>
      </c>
      <c r="Q228" s="9">
        <v>3</v>
      </c>
      <c r="R228" s="10"/>
      <c r="S228" s="10"/>
      <c r="T228" s="9"/>
      <c r="U228" s="9"/>
    </row>
    <row r="229" spans="1:21" ht="118.8" x14ac:dyDescent="0.3">
      <c r="A229" s="19" t="s">
        <v>1505</v>
      </c>
      <c r="B229" s="20">
        <v>12</v>
      </c>
      <c r="C229" s="9" t="s">
        <v>54</v>
      </c>
      <c r="D229" s="9" t="s">
        <v>55</v>
      </c>
      <c r="E229" s="9" t="s">
        <v>1498</v>
      </c>
      <c r="F229" s="9" t="s">
        <v>1506</v>
      </c>
      <c r="G229" s="9" t="s">
        <v>1506</v>
      </c>
      <c r="H229" s="9">
        <v>228</v>
      </c>
      <c r="I229" s="10" t="s">
        <v>1507</v>
      </c>
      <c r="J229" s="10" t="s">
        <v>1508</v>
      </c>
      <c r="K229" s="9">
        <v>8</v>
      </c>
      <c r="L229" s="10" t="s">
        <v>1509</v>
      </c>
      <c r="M229" s="9">
        <v>6</v>
      </c>
      <c r="N229" s="9" t="s">
        <v>62</v>
      </c>
      <c r="O229" s="10" t="s">
        <v>1510</v>
      </c>
      <c r="P229" s="10" t="s">
        <v>1511</v>
      </c>
      <c r="Q229" s="9">
        <v>3</v>
      </c>
      <c r="R229" s="10" t="s">
        <v>1512</v>
      </c>
      <c r="S229" s="10"/>
      <c r="T229" s="9"/>
      <c r="U229" s="9"/>
    </row>
    <row r="230" spans="1:21" ht="79.2" x14ac:dyDescent="0.3">
      <c r="A230" s="19" t="s">
        <v>1513</v>
      </c>
      <c r="B230" s="20">
        <v>12</v>
      </c>
      <c r="C230" s="9" t="s">
        <v>54</v>
      </c>
      <c r="D230" s="9" t="s">
        <v>55</v>
      </c>
      <c r="E230" s="9" t="s">
        <v>1514</v>
      </c>
      <c r="F230" s="9" t="s">
        <v>1515</v>
      </c>
      <c r="G230" s="9" t="s">
        <v>1515</v>
      </c>
      <c r="H230" s="9">
        <v>229</v>
      </c>
      <c r="I230" s="10" t="s">
        <v>1516</v>
      </c>
      <c r="J230" s="10" t="s">
        <v>60</v>
      </c>
      <c r="K230" s="9">
        <v>0</v>
      </c>
      <c r="L230" s="10" t="s">
        <v>60</v>
      </c>
      <c r="M230" s="9">
        <v>0</v>
      </c>
      <c r="N230" s="9" t="s">
        <v>62</v>
      </c>
      <c r="O230" s="10" t="s">
        <v>1517</v>
      </c>
      <c r="P230" s="10" t="s">
        <v>60</v>
      </c>
      <c r="Q230" s="9">
        <v>0</v>
      </c>
      <c r="R230" s="10"/>
      <c r="S230" s="10"/>
      <c r="T230" s="9"/>
      <c r="U230" s="9"/>
    </row>
    <row r="231" spans="1:21" ht="105.6" x14ac:dyDescent="0.3">
      <c r="A231" s="19" t="s">
        <v>1518</v>
      </c>
      <c r="B231" s="20">
        <v>12</v>
      </c>
      <c r="C231" s="9" t="s">
        <v>54</v>
      </c>
      <c r="D231" s="9" t="s">
        <v>55</v>
      </c>
      <c r="E231" s="9" t="s">
        <v>1514</v>
      </c>
      <c r="F231" s="9" t="s">
        <v>1519</v>
      </c>
      <c r="G231" s="9" t="s">
        <v>1519</v>
      </c>
      <c r="H231" s="9">
        <v>230</v>
      </c>
      <c r="I231" s="10" t="s">
        <v>1520</v>
      </c>
      <c r="J231" s="10" t="s">
        <v>1521</v>
      </c>
      <c r="K231" s="9">
        <v>7</v>
      </c>
      <c r="L231" s="10" t="s">
        <v>1522</v>
      </c>
      <c r="M231" s="9">
        <v>5</v>
      </c>
      <c r="N231" s="9" t="s">
        <v>62</v>
      </c>
      <c r="O231" s="10" t="s">
        <v>1523</v>
      </c>
      <c r="P231" s="10" t="s">
        <v>1524</v>
      </c>
      <c r="Q231" s="9">
        <v>2</v>
      </c>
      <c r="R231" s="10"/>
      <c r="S231" s="10"/>
      <c r="T231" s="9"/>
      <c r="U231" s="9"/>
    </row>
    <row r="232" spans="1:21" ht="118.8" x14ac:dyDescent="0.3">
      <c r="A232" s="19" t="s">
        <v>1525</v>
      </c>
      <c r="B232" s="20">
        <v>12</v>
      </c>
      <c r="C232" s="9" t="s">
        <v>54</v>
      </c>
      <c r="D232" s="9" t="s">
        <v>55</v>
      </c>
      <c r="E232" s="9" t="s">
        <v>1514</v>
      </c>
      <c r="F232" s="9" t="s">
        <v>1526</v>
      </c>
      <c r="G232" s="9" t="s">
        <v>1526</v>
      </c>
      <c r="H232" s="9">
        <v>231</v>
      </c>
      <c r="I232" s="10" t="s">
        <v>1527</v>
      </c>
      <c r="J232" s="10" t="s">
        <v>1528</v>
      </c>
      <c r="K232" s="9">
        <v>7</v>
      </c>
      <c r="L232" s="10" t="s">
        <v>1529</v>
      </c>
      <c r="M232" s="9">
        <v>5</v>
      </c>
      <c r="N232" s="9" t="s">
        <v>62</v>
      </c>
      <c r="O232" s="10" t="s">
        <v>1530</v>
      </c>
      <c r="P232" s="10" t="s">
        <v>1531</v>
      </c>
      <c r="Q232" s="9">
        <v>3</v>
      </c>
      <c r="R232" s="10"/>
      <c r="S232" s="10"/>
      <c r="T232" s="9"/>
      <c r="U232" s="9"/>
    </row>
    <row r="233" spans="1:21" ht="79.2" x14ac:dyDescent="0.3">
      <c r="A233" s="19" t="s">
        <v>1532</v>
      </c>
      <c r="B233" s="20">
        <v>12</v>
      </c>
      <c r="C233" s="9" t="s">
        <v>54</v>
      </c>
      <c r="D233" s="9" t="s">
        <v>55</v>
      </c>
      <c r="E233" s="9" t="s">
        <v>1514</v>
      </c>
      <c r="F233" s="9" t="s">
        <v>1533</v>
      </c>
      <c r="G233" s="9" t="s">
        <v>1533</v>
      </c>
      <c r="H233" s="9">
        <v>232</v>
      </c>
      <c r="I233" s="10" t="s">
        <v>1534</v>
      </c>
      <c r="J233" s="10" t="s">
        <v>1535</v>
      </c>
      <c r="K233" s="9">
        <v>3</v>
      </c>
      <c r="L233" s="10" t="s">
        <v>1536</v>
      </c>
      <c r="M233" s="9">
        <v>5</v>
      </c>
      <c r="N233" s="9" t="s">
        <v>62</v>
      </c>
      <c r="O233" s="10" t="s">
        <v>1537</v>
      </c>
      <c r="P233" s="10" t="s">
        <v>1538</v>
      </c>
      <c r="Q233" s="9">
        <v>3</v>
      </c>
      <c r="R233" s="10"/>
      <c r="S233" s="10"/>
      <c r="T233" s="9"/>
      <c r="U233" s="9"/>
    </row>
    <row r="234" spans="1:21" ht="79.2" x14ac:dyDescent="0.3">
      <c r="A234" s="19" t="s">
        <v>1539</v>
      </c>
      <c r="B234" s="20">
        <v>12</v>
      </c>
      <c r="C234" s="9" t="s">
        <v>54</v>
      </c>
      <c r="D234" s="9" t="s">
        <v>55</v>
      </c>
      <c r="E234" s="9" t="s">
        <v>1514</v>
      </c>
      <c r="F234" s="9" t="s">
        <v>1540</v>
      </c>
      <c r="G234" s="9" t="s">
        <v>1541</v>
      </c>
      <c r="H234" s="9">
        <v>233</v>
      </c>
      <c r="I234" s="10" t="s">
        <v>1542</v>
      </c>
      <c r="J234" s="10" t="s">
        <v>1543</v>
      </c>
      <c r="K234" s="9">
        <v>5</v>
      </c>
      <c r="L234" s="10" t="s">
        <v>1544</v>
      </c>
      <c r="M234" s="9">
        <v>5</v>
      </c>
      <c r="N234" s="9" t="s">
        <v>62</v>
      </c>
      <c r="O234" s="10" t="s">
        <v>1545</v>
      </c>
      <c r="P234" s="10" t="s">
        <v>60</v>
      </c>
      <c r="Q234" s="9">
        <v>0</v>
      </c>
      <c r="R234" s="10"/>
      <c r="S234" s="10"/>
      <c r="T234" s="9"/>
      <c r="U234" s="9"/>
    </row>
    <row r="235" spans="1:21" ht="79.2" x14ac:dyDescent="0.3">
      <c r="A235" s="19" t="s">
        <v>1546</v>
      </c>
      <c r="B235" s="20">
        <v>12</v>
      </c>
      <c r="C235" s="9" t="s">
        <v>54</v>
      </c>
      <c r="D235" s="9" t="s">
        <v>55</v>
      </c>
      <c r="E235" s="9" t="s">
        <v>1514</v>
      </c>
      <c r="F235" s="9" t="s">
        <v>1540</v>
      </c>
      <c r="G235" s="9" t="s">
        <v>1547</v>
      </c>
      <c r="H235" s="9">
        <v>234</v>
      </c>
      <c r="I235" s="10" t="s">
        <v>1548</v>
      </c>
      <c r="J235" s="10" t="s">
        <v>1549</v>
      </c>
      <c r="K235" s="9">
        <v>2</v>
      </c>
      <c r="L235" s="10" t="s">
        <v>1550</v>
      </c>
      <c r="M235" s="9">
        <v>4</v>
      </c>
      <c r="N235" s="9" t="s">
        <v>62</v>
      </c>
      <c r="O235" s="10" t="s">
        <v>1551</v>
      </c>
      <c r="P235" s="10" t="s">
        <v>1552</v>
      </c>
      <c r="Q235" s="9">
        <v>2</v>
      </c>
      <c r="R235" s="10"/>
      <c r="S235" s="10"/>
      <c r="T235" s="9"/>
      <c r="U235" s="9"/>
    </row>
    <row r="236" spans="1:21" ht="39.6" x14ac:dyDescent="0.3">
      <c r="A236" s="19" t="s">
        <v>1553</v>
      </c>
      <c r="B236" s="20">
        <v>12</v>
      </c>
      <c r="C236" s="9" t="s">
        <v>54</v>
      </c>
      <c r="D236" s="9" t="s">
        <v>55</v>
      </c>
      <c r="E236" s="9" t="s">
        <v>1514</v>
      </c>
      <c r="F236" s="9" t="s">
        <v>1540</v>
      </c>
      <c r="G236" s="9" t="s">
        <v>1554</v>
      </c>
      <c r="H236" s="9">
        <v>235</v>
      </c>
      <c r="I236" s="10" t="s">
        <v>1555</v>
      </c>
      <c r="J236" s="10" t="s">
        <v>60</v>
      </c>
      <c r="K236" s="9">
        <v>0</v>
      </c>
      <c r="L236" s="10" t="s">
        <v>60</v>
      </c>
      <c r="M236" s="9">
        <v>0</v>
      </c>
      <c r="N236" s="9" t="s">
        <v>62</v>
      </c>
      <c r="O236" s="10" t="s">
        <v>607</v>
      </c>
      <c r="P236" s="10" t="s">
        <v>60</v>
      </c>
      <c r="Q236" s="9">
        <v>0</v>
      </c>
      <c r="R236" s="10"/>
      <c r="S236" s="10"/>
      <c r="T236" s="9"/>
      <c r="U236" s="9"/>
    </row>
    <row r="237" spans="1:21" ht="105.6" x14ac:dyDescent="0.3">
      <c r="A237" s="19" t="s">
        <v>1556</v>
      </c>
      <c r="B237" s="20">
        <v>12</v>
      </c>
      <c r="C237" s="9" t="s">
        <v>54</v>
      </c>
      <c r="D237" s="9" t="s">
        <v>55</v>
      </c>
      <c r="E237" s="9" t="s">
        <v>1514</v>
      </c>
      <c r="F237" s="9" t="s">
        <v>1540</v>
      </c>
      <c r="G237" s="9" t="s">
        <v>1557</v>
      </c>
      <c r="H237" s="9">
        <v>236</v>
      </c>
      <c r="I237" s="10" t="s">
        <v>1558</v>
      </c>
      <c r="J237" s="10" t="s">
        <v>1559</v>
      </c>
      <c r="K237" s="9">
        <v>5</v>
      </c>
      <c r="L237" s="10" t="s">
        <v>1560</v>
      </c>
      <c r="M237" s="9">
        <v>5</v>
      </c>
      <c r="N237" s="9" t="s">
        <v>62</v>
      </c>
      <c r="O237" s="10" t="s">
        <v>1561</v>
      </c>
      <c r="P237" s="10" t="s">
        <v>1562</v>
      </c>
      <c r="Q237" s="9">
        <v>3</v>
      </c>
      <c r="R237" s="10"/>
      <c r="S237" s="10"/>
      <c r="T237" s="9"/>
      <c r="U237" s="9"/>
    </row>
    <row r="238" spans="1:21" ht="66" x14ac:dyDescent="0.3">
      <c r="A238" s="19" t="s">
        <v>1563</v>
      </c>
      <c r="B238" s="20">
        <v>12</v>
      </c>
      <c r="C238" s="9" t="s">
        <v>54</v>
      </c>
      <c r="D238" s="9" t="s">
        <v>55</v>
      </c>
      <c r="E238" s="9" t="s">
        <v>1514</v>
      </c>
      <c r="F238" s="9" t="s">
        <v>1540</v>
      </c>
      <c r="G238" s="9" t="s">
        <v>1564</v>
      </c>
      <c r="H238" s="9">
        <v>237</v>
      </c>
      <c r="I238" s="10" t="s">
        <v>1565</v>
      </c>
      <c r="J238" s="10" t="s">
        <v>1566</v>
      </c>
      <c r="K238" s="9">
        <v>2</v>
      </c>
      <c r="L238" s="10" t="s">
        <v>1567</v>
      </c>
      <c r="M238" s="9">
        <v>4</v>
      </c>
      <c r="N238" s="9" t="s">
        <v>62</v>
      </c>
      <c r="O238" s="10" t="s">
        <v>1568</v>
      </c>
      <c r="P238" s="10" t="s">
        <v>60</v>
      </c>
      <c r="Q238" s="9">
        <v>0</v>
      </c>
      <c r="R238" s="10" t="s">
        <v>1569</v>
      </c>
      <c r="S238" s="10"/>
      <c r="T238" s="9"/>
      <c r="U238" s="9"/>
    </row>
    <row r="239" spans="1:21" ht="79.2" x14ac:dyDescent="0.3">
      <c r="A239" s="19" t="s">
        <v>1570</v>
      </c>
      <c r="B239" s="20">
        <v>12</v>
      </c>
      <c r="C239" s="9" t="s">
        <v>54</v>
      </c>
      <c r="D239" s="9" t="s">
        <v>175</v>
      </c>
      <c r="E239" s="9" t="s">
        <v>1571</v>
      </c>
      <c r="F239" s="9" t="s">
        <v>1572</v>
      </c>
      <c r="G239" s="9" t="s">
        <v>1572</v>
      </c>
      <c r="H239" s="9">
        <v>238</v>
      </c>
      <c r="I239" s="10" t="s">
        <v>1573</v>
      </c>
      <c r="J239" s="10" t="s">
        <v>1574</v>
      </c>
      <c r="K239" s="9">
        <v>5</v>
      </c>
      <c r="L239" s="10" t="s">
        <v>1575</v>
      </c>
      <c r="M239" s="9">
        <v>4</v>
      </c>
      <c r="N239" s="9" t="s">
        <v>62</v>
      </c>
      <c r="O239" s="10" t="s">
        <v>1576</v>
      </c>
      <c r="P239" s="10" t="s">
        <v>1577</v>
      </c>
      <c r="Q239" s="9">
        <v>2</v>
      </c>
      <c r="R239" s="10"/>
      <c r="S239" s="10"/>
      <c r="T239" s="9"/>
      <c r="U239" s="9"/>
    </row>
    <row r="240" spans="1:21" ht="52.8" x14ac:dyDescent="0.3">
      <c r="A240" s="19" t="s">
        <v>1578</v>
      </c>
      <c r="B240" s="20">
        <v>12</v>
      </c>
      <c r="C240" s="9" t="s">
        <v>54</v>
      </c>
      <c r="D240" s="9" t="s">
        <v>175</v>
      </c>
      <c r="E240" s="9" t="s">
        <v>1571</v>
      </c>
      <c r="F240" s="9" t="s">
        <v>1579</v>
      </c>
      <c r="G240" s="9" t="s">
        <v>1579</v>
      </c>
      <c r="H240" s="9">
        <v>239</v>
      </c>
      <c r="I240" s="10" t="s">
        <v>1580</v>
      </c>
      <c r="J240" s="10" t="s">
        <v>1581</v>
      </c>
      <c r="K240" s="9">
        <v>4</v>
      </c>
      <c r="L240" s="10" t="s">
        <v>1582</v>
      </c>
      <c r="M240" s="9">
        <v>3</v>
      </c>
      <c r="N240" s="9" t="s">
        <v>62</v>
      </c>
      <c r="O240" s="10" t="s">
        <v>1583</v>
      </c>
      <c r="P240" s="10" t="s">
        <v>60</v>
      </c>
      <c r="Q240" s="9">
        <v>0</v>
      </c>
      <c r="R240" s="10"/>
      <c r="S240" s="10"/>
      <c r="T240" s="9"/>
      <c r="U240" s="9"/>
    </row>
    <row r="241" spans="1:21" ht="39.6" x14ac:dyDescent="0.3">
      <c r="A241" s="19" t="s">
        <v>1584</v>
      </c>
      <c r="B241" s="20">
        <v>12</v>
      </c>
      <c r="C241" s="9" t="s">
        <v>54</v>
      </c>
      <c r="D241" s="9" t="s">
        <v>175</v>
      </c>
      <c r="E241" s="9" t="s">
        <v>1571</v>
      </c>
      <c r="F241" s="9" t="s">
        <v>1585</v>
      </c>
      <c r="G241" s="9" t="s">
        <v>1585</v>
      </c>
      <c r="H241" s="9">
        <v>240</v>
      </c>
      <c r="I241" s="10" t="s">
        <v>1586</v>
      </c>
      <c r="J241" s="10" t="s">
        <v>60</v>
      </c>
      <c r="K241" s="9">
        <v>0</v>
      </c>
      <c r="L241" s="10" t="s">
        <v>1587</v>
      </c>
      <c r="M241" s="9">
        <v>3</v>
      </c>
      <c r="N241" s="9" t="s">
        <v>126</v>
      </c>
      <c r="O241" s="10" t="s">
        <v>538</v>
      </c>
      <c r="P241" s="10" t="s">
        <v>60</v>
      </c>
      <c r="Q241" s="9">
        <v>0</v>
      </c>
      <c r="R241" s="10"/>
      <c r="S241" s="10"/>
      <c r="T241" s="9"/>
      <c r="U241" s="9"/>
    </row>
    <row r="242" spans="1:21" ht="118.8" x14ac:dyDescent="0.3">
      <c r="A242" s="19" t="s">
        <v>1588</v>
      </c>
      <c r="B242" s="20">
        <v>12</v>
      </c>
      <c r="C242" s="9" t="s">
        <v>54</v>
      </c>
      <c r="D242" s="9" t="s">
        <v>175</v>
      </c>
      <c r="E242" s="9" t="s">
        <v>1571</v>
      </c>
      <c r="F242" s="9" t="s">
        <v>1589</v>
      </c>
      <c r="G242" s="9" t="s">
        <v>1589</v>
      </c>
      <c r="H242" s="9">
        <v>241</v>
      </c>
      <c r="I242" s="10" t="s">
        <v>1590</v>
      </c>
      <c r="J242" s="10" t="s">
        <v>1591</v>
      </c>
      <c r="K242" s="9">
        <v>9</v>
      </c>
      <c r="L242" s="10" t="s">
        <v>1592</v>
      </c>
      <c r="M242" s="9">
        <v>7</v>
      </c>
      <c r="N242" s="9" t="s">
        <v>62</v>
      </c>
      <c r="O242" s="10" t="s">
        <v>1593</v>
      </c>
      <c r="P242" s="10" t="s">
        <v>1594</v>
      </c>
      <c r="Q242" s="9">
        <v>3</v>
      </c>
      <c r="R242" s="10" t="s">
        <v>1595</v>
      </c>
      <c r="S242" s="10"/>
      <c r="T242" s="9"/>
      <c r="U242" s="9"/>
    </row>
    <row r="243" spans="1:21" ht="66" x14ac:dyDescent="0.3">
      <c r="A243" s="19" t="s">
        <v>1596</v>
      </c>
      <c r="B243" s="20">
        <v>12</v>
      </c>
      <c r="C243" s="9" t="s">
        <v>54</v>
      </c>
      <c r="D243" s="9" t="s">
        <v>175</v>
      </c>
      <c r="E243" s="9" t="s">
        <v>1597</v>
      </c>
      <c r="F243" s="9" t="s">
        <v>1598</v>
      </c>
      <c r="G243" s="9" t="s">
        <v>1598</v>
      </c>
      <c r="H243" s="9">
        <v>242</v>
      </c>
      <c r="I243" s="10" t="s">
        <v>1599</v>
      </c>
      <c r="J243" s="10" t="s">
        <v>60</v>
      </c>
      <c r="K243" s="9">
        <v>0</v>
      </c>
      <c r="L243" s="10" t="s">
        <v>60</v>
      </c>
      <c r="M243" s="9">
        <v>0</v>
      </c>
      <c r="N243" s="9" t="s">
        <v>62</v>
      </c>
      <c r="O243" s="10" t="s">
        <v>607</v>
      </c>
      <c r="P243" s="10" t="s">
        <v>60</v>
      </c>
      <c r="Q243" s="9">
        <v>0</v>
      </c>
      <c r="R243" s="10"/>
      <c r="S243" s="10"/>
      <c r="T243" s="9"/>
      <c r="U243" s="9"/>
    </row>
    <row r="244" spans="1:21" ht="105.6" x14ac:dyDescent="0.3">
      <c r="A244" s="19" t="s">
        <v>1600</v>
      </c>
      <c r="B244" s="20">
        <v>12</v>
      </c>
      <c r="C244" s="9" t="s">
        <v>54</v>
      </c>
      <c r="D244" s="9" t="s">
        <v>175</v>
      </c>
      <c r="E244" s="9" t="s">
        <v>1597</v>
      </c>
      <c r="F244" s="9" t="s">
        <v>1601</v>
      </c>
      <c r="G244" s="9" t="s">
        <v>1601</v>
      </c>
      <c r="H244" s="9">
        <v>243</v>
      </c>
      <c r="I244" s="10" t="s">
        <v>1602</v>
      </c>
      <c r="J244" s="10" t="s">
        <v>1603</v>
      </c>
      <c r="K244" s="9">
        <v>6</v>
      </c>
      <c r="L244" s="10" t="s">
        <v>1604</v>
      </c>
      <c r="M244" s="9">
        <v>7</v>
      </c>
      <c r="N244" s="9" t="s">
        <v>62</v>
      </c>
      <c r="O244" s="10" t="s">
        <v>1605</v>
      </c>
      <c r="P244" s="10" t="s">
        <v>1606</v>
      </c>
      <c r="Q244" s="9">
        <v>3</v>
      </c>
      <c r="R244" s="10"/>
      <c r="S244" s="10"/>
      <c r="T244" s="9"/>
      <c r="U244" s="9"/>
    </row>
    <row r="245" spans="1:21" ht="66" x14ac:dyDescent="0.3">
      <c r="A245" s="19" t="s">
        <v>1607</v>
      </c>
      <c r="B245" s="20">
        <v>12</v>
      </c>
      <c r="C245" s="9" t="s">
        <v>54</v>
      </c>
      <c r="D245" s="9" t="s">
        <v>175</v>
      </c>
      <c r="E245" s="9" t="s">
        <v>1597</v>
      </c>
      <c r="F245" s="9" t="s">
        <v>1608</v>
      </c>
      <c r="G245" s="9" t="s">
        <v>1608</v>
      </c>
      <c r="H245" s="9">
        <v>244</v>
      </c>
      <c r="I245" s="10" t="s">
        <v>1609</v>
      </c>
      <c r="J245" s="10" t="s">
        <v>1610</v>
      </c>
      <c r="K245" s="9">
        <v>4</v>
      </c>
      <c r="L245" s="10" t="s">
        <v>1611</v>
      </c>
      <c r="M245" s="9">
        <v>3</v>
      </c>
      <c r="N245" s="9" t="s">
        <v>126</v>
      </c>
      <c r="O245" s="10" t="s">
        <v>1612</v>
      </c>
      <c r="P245" s="10" t="s">
        <v>60</v>
      </c>
      <c r="Q245" s="9">
        <v>0</v>
      </c>
      <c r="R245" s="10"/>
      <c r="S245" s="10"/>
      <c r="T245" s="9"/>
      <c r="U245" s="9"/>
    </row>
    <row r="246" spans="1:21" ht="66" x14ac:dyDescent="0.3">
      <c r="A246" s="19" t="s">
        <v>1613</v>
      </c>
      <c r="B246" s="20">
        <v>12</v>
      </c>
      <c r="C246" s="9" t="s">
        <v>54</v>
      </c>
      <c r="D246" s="9" t="s">
        <v>175</v>
      </c>
      <c r="E246" s="9" t="s">
        <v>1597</v>
      </c>
      <c r="F246" s="9" t="s">
        <v>1614</v>
      </c>
      <c r="G246" s="9" t="s">
        <v>1614</v>
      </c>
      <c r="H246" s="9">
        <v>245</v>
      </c>
      <c r="I246" s="10" t="s">
        <v>1615</v>
      </c>
      <c r="J246" s="10" t="s">
        <v>1616</v>
      </c>
      <c r="K246" s="9">
        <v>3</v>
      </c>
      <c r="L246" s="10" t="s">
        <v>1617</v>
      </c>
      <c r="M246" s="9">
        <v>5</v>
      </c>
      <c r="N246" s="9" t="s">
        <v>62</v>
      </c>
      <c r="O246" s="10" t="s">
        <v>1618</v>
      </c>
      <c r="P246" s="10" t="s">
        <v>1619</v>
      </c>
      <c r="Q246" s="9">
        <v>2</v>
      </c>
      <c r="R246" s="10"/>
      <c r="S246" s="10"/>
      <c r="T246" s="9"/>
      <c r="U246" s="9"/>
    </row>
    <row r="247" spans="1:21" ht="66" x14ac:dyDescent="0.3">
      <c r="A247" s="19" t="s">
        <v>1620</v>
      </c>
      <c r="B247" s="20">
        <v>12</v>
      </c>
      <c r="C247" s="9" t="s">
        <v>54</v>
      </c>
      <c r="D247" s="9" t="s">
        <v>175</v>
      </c>
      <c r="E247" s="9" t="s">
        <v>1597</v>
      </c>
      <c r="F247" s="9" t="s">
        <v>1621</v>
      </c>
      <c r="G247" s="9" t="s">
        <v>1621</v>
      </c>
      <c r="H247" s="9">
        <v>246</v>
      </c>
      <c r="I247" s="10" t="s">
        <v>1622</v>
      </c>
      <c r="J247" s="10" t="s">
        <v>1623</v>
      </c>
      <c r="K247" s="9">
        <v>4</v>
      </c>
      <c r="L247" s="10" t="s">
        <v>1624</v>
      </c>
      <c r="M247" s="9">
        <v>4</v>
      </c>
      <c r="N247" s="9" t="s">
        <v>62</v>
      </c>
      <c r="O247" s="10" t="s">
        <v>1625</v>
      </c>
      <c r="P247" s="10" t="s">
        <v>1626</v>
      </c>
      <c r="Q247" s="9">
        <v>2</v>
      </c>
      <c r="R247" s="10" t="s">
        <v>1627</v>
      </c>
      <c r="S247" s="10"/>
      <c r="T247" s="9"/>
      <c r="U247" s="9"/>
    </row>
    <row r="248" spans="1:21" ht="66" x14ac:dyDescent="0.3">
      <c r="A248" s="19" t="s">
        <v>1628</v>
      </c>
      <c r="B248" s="20">
        <v>12</v>
      </c>
      <c r="C248" s="9" t="s">
        <v>54</v>
      </c>
      <c r="D248" s="9" t="s">
        <v>175</v>
      </c>
      <c r="E248" s="9" t="s">
        <v>1629</v>
      </c>
      <c r="F248" s="9" t="s">
        <v>1630</v>
      </c>
      <c r="G248" s="9" t="s">
        <v>1630</v>
      </c>
      <c r="H248" s="9">
        <v>247</v>
      </c>
      <c r="I248" s="10" t="s">
        <v>1631</v>
      </c>
      <c r="J248" s="10" t="s">
        <v>60</v>
      </c>
      <c r="K248" s="9">
        <v>0</v>
      </c>
      <c r="L248" s="10" t="s">
        <v>60</v>
      </c>
      <c r="M248" s="9">
        <v>0</v>
      </c>
      <c r="N248" s="9" t="s">
        <v>62</v>
      </c>
      <c r="O248" s="10" t="s">
        <v>607</v>
      </c>
      <c r="P248" s="10" t="s">
        <v>60</v>
      </c>
      <c r="Q248" s="9">
        <v>0</v>
      </c>
      <c r="R248" s="10"/>
      <c r="S248" s="10"/>
      <c r="T248" s="9"/>
      <c r="U248" s="9"/>
    </row>
    <row r="249" spans="1:21" ht="52.8" x14ac:dyDescent="0.3">
      <c r="A249" s="19" t="s">
        <v>1201</v>
      </c>
      <c r="B249" s="20">
        <v>12</v>
      </c>
      <c r="C249" s="9" t="s">
        <v>54</v>
      </c>
      <c r="D249" s="9" t="s">
        <v>175</v>
      </c>
      <c r="E249" s="9" t="s">
        <v>1629</v>
      </c>
      <c r="F249" s="9" t="s">
        <v>1632</v>
      </c>
      <c r="G249" s="9" t="s">
        <v>1632</v>
      </c>
      <c r="H249" s="9">
        <v>248</v>
      </c>
      <c r="I249" s="10" t="s">
        <v>1633</v>
      </c>
      <c r="J249" s="10" t="s">
        <v>1634</v>
      </c>
      <c r="K249" s="9">
        <v>1</v>
      </c>
      <c r="L249" s="10" t="s">
        <v>1635</v>
      </c>
      <c r="M249" s="9">
        <v>4</v>
      </c>
      <c r="N249" s="9" t="s">
        <v>62</v>
      </c>
      <c r="O249" s="10" t="s">
        <v>607</v>
      </c>
      <c r="P249" s="10" t="s">
        <v>60</v>
      </c>
      <c r="Q249" s="9">
        <v>0</v>
      </c>
      <c r="R249" s="10"/>
      <c r="S249" s="10"/>
      <c r="T249" s="9" t="s">
        <v>1636</v>
      </c>
      <c r="U249" s="9"/>
    </row>
    <row r="250" spans="1:21" ht="52.8" x14ac:dyDescent="0.3">
      <c r="A250" s="19" t="s">
        <v>1215</v>
      </c>
      <c r="B250" s="20">
        <v>12</v>
      </c>
      <c r="C250" s="9" t="s">
        <v>54</v>
      </c>
      <c r="D250" s="9" t="s">
        <v>175</v>
      </c>
      <c r="E250" s="9" t="s">
        <v>1629</v>
      </c>
      <c r="F250" s="9" t="s">
        <v>1637</v>
      </c>
      <c r="G250" s="9" t="s">
        <v>1637</v>
      </c>
      <c r="H250" s="9">
        <v>249</v>
      </c>
      <c r="I250" s="10" t="s">
        <v>1638</v>
      </c>
      <c r="J250" s="10" t="s">
        <v>1639</v>
      </c>
      <c r="K250" s="9">
        <v>3</v>
      </c>
      <c r="L250" s="10" t="s">
        <v>1640</v>
      </c>
      <c r="M250" s="9">
        <v>4</v>
      </c>
      <c r="N250" s="9" t="s">
        <v>62</v>
      </c>
      <c r="O250" s="10" t="s">
        <v>607</v>
      </c>
      <c r="P250" s="10" t="s">
        <v>60</v>
      </c>
      <c r="Q250" s="9">
        <v>0</v>
      </c>
      <c r="R250" s="10"/>
      <c r="S250" s="10"/>
      <c r="T250" s="9" t="s">
        <v>1641</v>
      </c>
      <c r="U250" s="9"/>
    </row>
    <row r="251" spans="1:21" ht="66" x14ac:dyDescent="0.3">
      <c r="A251" s="19" t="s">
        <v>857</v>
      </c>
      <c r="B251" s="20">
        <v>12</v>
      </c>
      <c r="C251" s="9" t="s">
        <v>54</v>
      </c>
      <c r="D251" s="9" t="s">
        <v>175</v>
      </c>
      <c r="E251" s="9" t="s">
        <v>1629</v>
      </c>
      <c r="F251" s="9" t="s">
        <v>1642</v>
      </c>
      <c r="G251" s="9" t="s">
        <v>1642</v>
      </c>
      <c r="H251" s="9">
        <v>250</v>
      </c>
      <c r="I251" s="10" t="s">
        <v>1643</v>
      </c>
      <c r="J251" s="10" t="s">
        <v>1644</v>
      </c>
      <c r="K251" s="9">
        <v>3</v>
      </c>
      <c r="L251" s="10" t="s">
        <v>1645</v>
      </c>
      <c r="M251" s="9">
        <v>5</v>
      </c>
      <c r="N251" s="9" t="s">
        <v>62</v>
      </c>
      <c r="O251" s="10" t="s">
        <v>1646</v>
      </c>
      <c r="P251" s="10" t="s">
        <v>1647</v>
      </c>
      <c r="Q251" s="9">
        <v>2</v>
      </c>
      <c r="R251" s="10"/>
      <c r="S251" s="10"/>
      <c r="T251" s="9" t="s">
        <v>850</v>
      </c>
      <c r="U251" s="9"/>
    </row>
    <row r="252" spans="1:21" ht="66" x14ac:dyDescent="0.3">
      <c r="A252" s="19" t="s">
        <v>864</v>
      </c>
      <c r="B252" s="20">
        <v>12</v>
      </c>
      <c r="C252" s="9" t="s">
        <v>54</v>
      </c>
      <c r="D252" s="9" t="s">
        <v>175</v>
      </c>
      <c r="E252" s="9" t="s">
        <v>1629</v>
      </c>
      <c r="F252" s="9" t="s">
        <v>1648</v>
      </c>
      <c r="G252" s="9" t="s">
        <v>1648</v>
      </c>
      <c r="H252" s="9">
        <v>251</v>
      </c>
      <c r="I252" s="10" t="s">
        <v>1649</v>
      </c>
      <c r="J252" s="10" t="s">
        <v>1650</v>
      </c>
      <c r="K252" s="9">
        <v>4</v>
      </c>
      <c r="L252" s="10" t="s">
        <v>1651</v>
      </c>
      <c r="M252" s="9">
        <v>4</v>
      </c>
      <c r="N252" s="9" t="s">
        <v>62</v>
      </c>
      <c r="O252" s="10" t="s">
        <v>1652</v>
      </c>
      <c r="P252" s="10" t="s">
        <v>1653</v>
      </c>
      <c r="Q252" s="9">
        <v>1</v>
      </c>
      <c r="R252" s="10"/>
      <c r="S252" s="10"/>
      <c r="T252" s="9" t="s">
        <v>858</v>
      </c>
      <c r="U252" s="9"/>
    </row>
    <row r="253" spans="1:21" ht="92.4" x14ac:dyDescent="0.3">
      <c r="A253" s="19" t="s">
        <v>1654</v>
      </c>
      <c r="B253" s="20">
        <v>12</v>
      </c>
      <c r="C253" s="9" t="s">
        <v>54</v>
      </c>
      <c r="D253" s="9" t="s">
        <v>175</v>
      </c>
      <c r="E253" s="9" t="s">
        <v>1629</v>
      </c>
      <c r="F253" s="9" t="s">
        <v>1655</v>
      </c>
      <c r="G253" s="9" t="s">
        <v>1655</v>
      </c>
      <c r="H253" s="9">
        <v>252</v>
      </c>
      <c r="I253" s="10" t="s">
        <v>1656</v>
      </c>
      <c r="J253" s="10" t="s">
        <v>1657</v>
      </c>
      <c r="K253" s="9">
        <v>7</v>
      </c>
      <c r="L253" s="10" t="s">
        <v>1658</v>
      </c>
      <c r="M253" s="9">
        <v>7</v>
      </c>
      <c r="N253" s="9" t="s">
        <v>62</v>
      </c>
      <c r="O253" s="10" t="s">
        <v>1659</v>
      </c>
      <c r="P253" s="10" t="s">
        <v>1660</v>
      </c>
      <c r="Q253" s="9">
        <v>2</v>
      </c>
      <c r="R253" s="10"/>
      <c r="S253" s="10"/>
      <c r="T253" s="9"/>
      <c r="U253" s="9"/>
    </row>
    <row r="254" spans="1:21" ht="52.8" x14ac:dyDescent="0.3">
      <c r="A254" s="19" t="s">
        <v>1661</v>
      </c>
      <c r="B254" s="20">
        <v>12</v>
      </c>
      <c r="C254" s="9" t="s">
        <v>54</v>
      </c>
      <c r="D254" s="9" t="s">
        <v>175</v>
      </c>
      <c r="E254" s="9" t="s">
        <v>1629</v>
      </c>
      <c r="F254" s="9" t="s">
        <v>1662</v>
      </c>
      <c r="G254" s="9" t="s">
        <v>1662</v>
      </c>
      <c r="H254" s="9">
        <v>253</v>
      </c>
      <c r="I254" s="10" t="s">
        <v>1663</v>
      </c>
      <c r="J254" s="10" t="s">
        <v>1664</v>
      </c>
      <c r="K254" s="9">
        <v>3</v>
      </c>
      <c r="L254" s="10" t="s">
        <v>1665</v>
      </c>
      <c r="M254" s="9">
        <v>4</v>
      </c>
      <c r="N254" s="9" t="s">
        <v>62</v>
      </c>
      <c r="O254" s="10" t="s">
        <v>1666</v>
      </c>
      <c r="P254" s="10" t="s">
        <v>60</v>
      </c>
      <c r="Q254" s="9">
        <v>0</v>
      </c>
      <c r="R254" s="10" t="s">
        <v>1667</v>
      </c>
      <c r="S254" s="10"/>
      <c r="T254" s="9"/>
      <c r="U254" s="9"/>
    </row>
    <row r="255" spans="1:21" ht="66" x14ac:dyDescent="0.3">
      <c r="A255" s="19" t="s">
        <v>1668</v>
      </c>
      <c r="B255" s="20">
        <v>12</v>
      </c>
      <c r="C255" s="9" t="s">
        <v>238</v>
      </c>
      <c r="D255" s="9" t="s">
        <v>239</v>
      </c>
      <c r="E255" s="9" t="s">
        <v>1669</v>
      </c>
      <c r="F255" s="9" t="s">
        <v>1670</v>
      </c>
      <c r="G255" s="9" t="s">
        <v>1670</v>
      </c>
      <c r="H255" s="9">
        <v>254</v>
      </c>
      <c r="I255" s="10" t="s">
        <v>1671</v>
      </c>
      <c r="J255" s="10" t="s">
        <v>1672</v>
      </c>
      <c r="K255" s="9">
        <v>4</v>
      </c>
      <c r="L255" s="10" t="s">
        <v>1673</v>
      </c>
      <c r="M255" s="9">
        <v>3</v>
      </c>
      <c r="N255" s="9" t="s">
        <v>62</v>
      </c>
      <c r="O255" s="10" t="s">
        <v>1674</v>
      </c>
      <c r="P255" s="10" t="s">
        <v>1675</v>
      </c>
      <c r="Q255" s="9">
        <v>1</v>
      </c>
      <c r="R255" s="10"/>
      <c r="S255" s="10"/>
      <c r="T255" s="9"/>
      <c r="U255" s="9"/>
    </row>
    <row r="256" spans="1:21" ht="92.4" x14ac:dyDescent="0.3">
      <c r="A256" s="19" t="s">
        <v>1676</v>
      </c>
      <c r="B256" s="20">
        <v>12</v>
      </c>
      <c r="C256" s="9" t="s">
        <v>238</v>
      </c>
      <c r="D256" s="9" t="s">
        <v>239</v>
      </c>
      <c r="E256" s="9" t="s">
        <v>1669</v>
      </c>
      <c r="F256" s="9" t="s">
        <v>1677</v>
      </c>
      <c r="G256" s="9" t="s">
        <v>1677</v>
      </c>
      <c r="H256" s="9">
        <v>255</v>
      </c>
      <c r="I256" s="10" t="s">
        <v>1678</v>
      </c>
      <c r="J256" s="10" t="s">
        <v>1679</v>
      </c>
      <c r="K256" s="9">
        <v>6</v>
      </c>
      <c r="L256" s="10" t="s">
        <v>1680</v>
      </c>
      <c r="M256" s="9">
        <v>6</v>
      </c>
      <c r="N256" s="9" t="s">
        <v>62</v>
      </c>
      <c r="O256" s="10" t="s">
        <v>1681</v>
      </c>
      <c r="P256" s="10" t="s">
        <v>1682</v>
      </c>
      <c r="Q256" s="9">
        <v>3</v>
      </c>
      <c r="R256" s="10"/>
      <c r="S256" s="10"/>
      <c r="T256" s="9"/>
      <c r="U256" s="9"/>
    </row>
    <row r="257" spans="1:21" ht="79.2" x14ac:dyDescent="0.3">
      <c r="A257" s="19" t="s">
        <v>1683</v>
      </c>
      <c r="B257" s="20">
        <v>12</v>
      </c>
      <c r="C257" s="9" t="s">
        <v>238</v>
      </c>
      <c r="D257" s="9" t="s">
        <v>239</v>
      </c>
      <c r="E257" s="9" t="s">
        <v>1669</v>
      </c>
      <c r="F257" s="9" t="s">
        <v>1684</v>
      </c>
      <c r="G257" s="9" t="s">
        <v>1684</v>
      </c>
      <c r="H257" s="9">
        <v>256</v>
      </c>
      <c r="I257" s="10" t="s">
        <v>1685</v>
      </c>
      <c r="J257" s="10" t="s">
        <v>1686</v>
      </c>
      <c r="K257" s="9">
        <v>5</v>
      </c>
      <c r="L257" s="10" t="s">
        <v>1687</v>
      </c>
      <c r="M257" s="9">
        <v>5</v>
      </c>
      <c r="N257" s="9" t="s">
        <v>62</v>
      </c>
      <c r="O257" s="10" t="s">
        <v>1688</v>
      </c>
      <c r="P257" s="10" t="s">
        <v>1689</v>
      </c>
      <c r="Q257" s="9">
        <v>1</v>
      </c>
      <c r="R257" s="10"/>
      <c r="S257" s="10"/>
      <c r="T257" s="9"/>
      <c r="U257" s="9"/>
    </row>
    <row r="258" spans="1:21" ht="66" x14ac:dyDescent="0.3">
      <c r="A258" s="19" t="s">
        <v>1226</v>
      </c>
      <c r="B258" s="20">
        <v>12</v>
      </c>
      <c r="C258" s="9" t="s">
        <v>238</v>
      </c>
      <c r="D258" s="9" t="s">
        <v>239</v>
      </c>
      <c r="E258" s="9" t="s">
        <v>1669</v>
      </c>
      <c r="F258" s="9" t="s">
        <v>1690</v>
      </c>
      <c r="G258" s="9" t="s">
        <v>1690</v>
      </c>
      <c r="H258" s="9">
        <v>257</v>
      </c>
      <c r="I258" s="10" t="s">
        <v>1691</v>
      </c>
      <c r="J258" s="10" t="s">
        <v>1692</v>
      </c>
      <c r="K258" s="9">
        <v>5</v>
      </c>
      <c r="L258" s="10" t="s">
        <v>1693</v>
      </c>
      <c r="M258" s="9">
        <v>4</v>
      </c>
      <c r="N258" s="9" t="s">
        <v>62</v>
      </c>
      <c r="O258" s="10" t="s">
        <v>1694</v>
      </c>
      <c r="P258" s="10" t="s">
        <v>60</v>
      </c>
      <c r="Q258" s="9">
        <v>0</v>
      </c>
      <c r="R258" s="10"/>
      <c r="S258" s="10"/>
      <c r="T258" s="9" t="s">
        <v>1695</v>
      </c>
      <c r="U258" s="9"/>
    </row>
    <row r="259" spans="1:21" ht="66" x14ac:dyDescent="0.3">
      <c r="A259" s="19" t="s">
        <v>1696</v>
      </c>
      <c r="B259" s="20">
        <v>12</v>
      </c>
      <c r="C259" s="9" t="s">
        <v>238</v>
      </c>
      <c r="D259" s="9" t="s">
        <v>239</v>
      </c>
      <c r="E259" s="9" t="s">
        <v>1669</v>
      </c>
      <c r="F259" s="9" t="s">
        <v>1697</v>
      </c>
      <c r="G259" s="9" t="s">
        <v>1697</v>
      </c>
      <c r="H259" s="9">
        <v>258</v>
      </c>
      <c r="I259" s="10" t="s">
        <v>1698</v>
      </c>
      <c r="J259" s="10" t="s">
        <v>1699</v>
      </c>
      <c r="K259" s="9">
        <v>4</v>
      </c>
      <c r="L259" s="10" t="s">
        <v>1700</v>
      </c>
      <c r="M259" s="9">
        <v>4</v>
      </c>
      <c r="N259" s="9" t="s">
        <v>62</v>
      </c>
      <c r="O259" s="10" t="s">
        <v>1701</v>
      </c>
      <c r="P259" s="10" t="s">
        <v>1702</v>
      </c>
      <c r="Q259" s="9">
        <v>1</v>
      </c>
      <c r="R259" s="10"/>
      <c r="S259" s="10"/>
      <c r="T259" s="9"/>
      <c r="U259" s="9"/>
    </row>
    <row r="260" spans="1:21" ht="52.8" x14ac:dyDescent="0.3">
      <c r="A260" s="19" t="s">
        <v>1703</v>
      </c>
      <c r="B260" s="20">
        <v>12</v>
      </c>
      <c r="C260" s="9" t="s">
        <v>238</v>
      </c>
      <c r="D260" s="9" t="s">
        <v>239</v>
      </c>
      <c r="E260" s="9" t="s">
        <v>1669</v>
      </c>
      <c r="F260" s="9" t="s">
        <v>1704</v>
      </c>
      <c r="G260" s="9" t="s">
        <v>1704</v>
      </c>
      <c r="H260" s="9">
        <v>259</v>
      </c>
      <c r="I260" s="10" t="s">
        <v>1705</v>
      </c>
      <c r="J260" s="10" t="s">
        <v>1706</v>
      </c>
      <c r="K260" s="9">
        <v>4</v>
      </c>
      <c r="L260" s="10" t="s">
        <v>1707</v>
      </c>
      <c r="M260" s="9">
        <v>4</v>
      </c>
      <c r="N260" s="9" t="s">
        <v>62</v>
      </c>
      <c r="O260" s="10" t="s">
        <v>1708</v>
      </c>
      <c r="P260" s="10" t="s">
        <v>60</v>
      </c>
      <c r="Q260" s="9">
        <v>0</v>
      </c>
      <c r="R260" s="10"/>
      <c r="S260" s="10"/>
      <c r="T260" s="9"/>
      <c r="U260" s="9"/>
    </row>
    <row r="261" spans="1:21" ht="39.6" x14ac:dyDescent="0.3">
      <c r="A261" s="19" t="s">
        <v>1709</v>
      </c>
      <c r="B261" s="20">
        <v>12</v>
      </c>
      <c r="C261" s="9" t="s">
        <v>238</v>
      </c>
      <c r="D261" s="9" t="s">
        <v>239</v>
      </c>
      <c r="E261" s="9" t="s">
        <v>1669</v>
      </c>
      <c r="F261" s="9" t="s">
        <v>1710</v>
      </c>
      <c r="G261" s="9" t="s">
        <v>1710</v>
      </c>
      <c r="H261" s="9">
        <v>260</v>
      </c>
      <c r="I261" s="10" t="s">
        <v>1711</v>
      </c>
      <c r="J261" s="10" t="s">
        <v>1712</v>
      </c>
      <c r="K261" s="9">
        <v>3</v>
      </c>
      <c r="L261" s="10" t="s">
        <v>1713</v>
      </c>
      <c r="M261" s="9">
        <v>3</v>
      </c>
      <c r="N261" s="9" t="s">
        <v>62</v>
      </c>
      <c r="O261" s="10" t="s">
        <v>607</v>
      </c>
      <c r="P261" s="10" t="s">
        <v>60</v>
      </c>
      <c r="Q261" s="9">
        <v>0</v>
      </c>
      <c r="R261" s="10"/>
      <c r="S261" s="10"/>
      <c r="T261" s="9"/>
      <c r="U261" s="9"/>
    </row>
    <row r="262" spans="1:21" ht="52.8" x14ac:dyDescent="0.3">
      <c r="A262" s="19" t="s">
        <v>1714</v>
      </c>
      <c r="B262" s="20">
        <v>12</v>
      </c>
      <c r="C262" s="9" t="s">
        <v>238</v>
      </c>
      <c r="D262" s="9" t="s">
        <v>239</v>
      </c>
      <c r="E262" s="9" t="s">
        <v>1669</v>
      </c>
      <c r="F262" s="9" t="s">
        <v>1715</v>
      </c>
      <c r="G262" s="9" t="s">
        <v>1715</v>
      </c>
      <c r="H262" s="9">
        <v>261</v>
      </c>
      <c r="I262" s="10" t="s">
        <v>1716</v>
      </c>
      <c r="J262" s="10" t="s">
        <v>1717</v>
      </c>
      <c r="K262" s="9">
        <v>4</v>
      </c>
      <c r="L262" s="10" t="s">
        <v>1718</v>
      </c>
      <c r="M262" s="9">
        <v>4</v>
      </c>
      <c r="N262" s="9" t="s">
        <v>62</v>
      </c>
      <c r="O262" s="10" t="s">
        <v>1719</v>
      </c>
      <c r="P262" s="10" t="s">
        <v>60</v>
      </c>
      <c r="Q262" s="9">
        <v>0</v>
      </c>
      <c r="R262" s="10" t="s">
        <v>1720</v>
      </c>
      <c r="S262" s="10"/>
      <c r="T262" s="9"/>
      <c r="U262" s="9"/>
    </row>
    <row r="263" spans="1:21" ht="66" x14ac:dyDescent="0.3">
      <c r="A263" s="19" t="s">
        <v>1234</v>
      </c>
      <c r="B263" s="20">
        <v>12</v>
      </c>
      <c r="C263" s="9" t="s">
        <v>238</v>
      </c>
      <c r="D263" s="9" t="s">
        <v>565</v>
      </c>
      <c r="E263" s="9" t="s">
        <v>1721</v>
      </c>
      <c r="F263" s="9" t="s">
        <v>1722</v>
      </c>
      <c r="G263" s="9" t="s">
        <v>1722</v>
      </c>
      <c r="H263" s="9">
        <v>262</v>
      </c>
      <c r="I263" s="10" t="s">
        <v>1723</v>
      </c>
      <c r="J263" s="10" t="s">
        <v>1724</v>
      </c>
      <c r="K263" s="9">
        <v>5</v>
      </c>
      <c r="L263" s="10" t="s">
        <v>1725</v>
      </c>
      <c r="M263" s="9">
        <v>4</v>
      </c>
      <c r="N263" s="9" t="s">
        <v>62</v>
      </c>
      <c r="O263" s="10" t="s">
        <v>607</v>
      </c>
      <c r="P263" s="10" t="s">
        <v>60</v>
      </c>
      <c r="Q263" s="9">
        <v>0</v>
      </c>
      <c r="R263" s="10"/>
      <c r="S263" s="10"/>
      <c r="T263" s="9" t="s">
        <v>1227</v>
      </c>
      <c r="U263" s="9"/>
    </row>
    <row r="264" spans="1:21" ht="66" x14ac:dyDescent="0.3">
      <c r="A264" s="19" t="s">
        <v>1726</v>
      </c>
      <c r="B264" s="20">
        <v>12</v>
      </c>
      <c r="C264" s="9" t="s">
        <v>238</v>
      </c>
      <c r="D264" s="9" t="s">
        <v>565</v>
      </c>
      <c r="E264" s="9" t="s">
        <v>1721</v>
      </c>
      <c r="F264" s="9" t="s">
        <v>1727</v>
      </c>
      <c r="G264" s="9" t="s">
        <v>1727</v>
      </c>
      <c r="H264" s="9">
        <v>263</v>
      </c>
      <c r="I264" s="10" t="s">
        <v>1728</v>
      </c>
      <c r="J264" s="10" t="s">
        <v>1729</v>
      </c>
      <c r="K264" s="9">
        <v>5</v>
      </c>
      <c r="L264" s="10" t="s">
        <v>1730</v>
      </c>
      <c r="M264" s="9">
        <v>4</v>
      </c>
      <c r="N264" s="9" t="s">
        <v>62</v>
      </c>
      <c r="O264" s="10" t="s">
        <v>1731</v>
      </c>
      <c r="P264" s="10" t="s">
        <v>60</v>
      </c>
      <c r="Q264" s="9">
        <v>0</v>
      </c>
      <c r="R264" s="10"/>
      <c r="S264" s="10"/>
      <c r="T264" s="9"/>
      <c r="U264" s="9"/>
    </row>
    <row r="265" spans="1:21" ht="66" x14ac:dyDescent="0.3">
      <c r="A265" s="19" t="s">
        <v>1732</v>
      </c>
      <c r="B265" s="20">
        <v>12</v>
      </c>
      <c r="C265" s="9" t="s">
        <v>238</v>
      </c>
      <c r="D265" s="9" t="s">
        <v>565</v>
      </c>
      <c r="E265" s="9" t="s">
        <v>1721</v>
      </c>
      <c r="F265" s="9" t="s">
        <v>1733</v>
      </c>
      <c r="G265" s="9" t="s">
        <v>1733</v>
      </c>
      <c r="H265" s="9">
        <v>264</v>
      </c>
      <c r="I265" s="10" t="s">
        <v>1734</v>
      </c>
      <c r="J265" s="10" t="s">
        <v>1735</v>
      </c>
      <c r="K265" s="9">
        <v>5</v>
      </c>
      <c r="L265" s="10" t="s">
        <v>1736</v>
      </c>
      <c r="M265" s="9">
        <v>3</v>
      </c>
      <c r="N265" s="9" t="s">
        <v>62</v>
      </c>
      <c r="O265" s="10" t="s">
        <v>607</v>
      </c>
      <c r="P265" s="10" t="s">
        <v>60</v>
      </c>
      <c r="Q265" s="9">
        <v>0</v>
      </c>
      <c r="R265" s="10"/>
      <c r="S265" s="10"/>
      <c r="T265" s="9"/>
      <c r="U265" s="9"/>
    </row>
    <row r="266" spans="1:21" ht="105.6" x14ac:dyDescent="0.3">
      <c r="A266" s="19" t="s">
        <v>1737</v>
      </c>
      <c r="B266" s="20">
        <v>12</v>
      </c>
      <c r="C266" s="9" t="s">
        <v>238</v>
      </c>
      <c r="D266" s="9" t="s">
        <v>565</v>
      </c>
      <c r="E266" s="9" t="s">
        <v>1721</v>
      </c>
      <c r="F266" s="9" t="s">
        <v>1738</v>
      </c>
      <c r="G266" s="9" t="s">
        <v>1738</v>
      </c>
      <c r="H266" s="9">
        <v>265</v>
      </c>
      <c r="I266" s="10" t="s">
        <v>1739</v>
      </c>
      <c r="J266" s="10" t="s">
        <v>1740</v>
      </c>
      <c r="K266" s="9">
        <v>7</v>
      </c>
      <c r="L266" s="10" t="s">
        <v>1741</v>
      </c>
      <c r="M266" s="9">
        <v>6</v>
      </c>
      <c r="N266" s="9" t="s">
        <v>62</v>
      </c>
      <c r="O266" s="10" t="s">
        <v>1742</v>
      </c>
      <c r="P266" s="10" t="s">
        <v>1743</v>
      </c>
      <c r="Q266" s="9">
        <v>3</v>
      </c>
      <c r="R266" s="10"/>
      <c r="S266" s="10"/>
      <c r="T266" s="9"/>
      <c r="U266" s="9"/>
    </row>
    <row r="267" spans="1:21" ht="79.2" x14ac:dyDescent="0.3">
      <c r="A267" s="19" t="s">
        <v>1744</v>
      </c>
      <c r="B267" s="20">
        <v>12</v>
      </c>
      <c r="C267" s="9" t="s">
        <v>238</v>
      </c>
      <c r="D267" s="9" t="s">
        <v>565</v>
      </c>
      <c r="E267" s="9" t="s">
        <v>1721</v>
      </c>
      <c r="F267" s="9" t="s">
        <v>1745</v>
      </c>
      <c r="G267" s="9" t="s">
        <v>1745</v>
      </c>
      <c r="H267" s="9">
        <v>266</v>
      </c>
      <c r="I267" s="10" t="s">
        <v>1746</v>
      </c>
      <c r="J267" s="10" t="s">
        <v>1747</v>
      </c>
      <c r="K267" s="9">
        <v>5</v>
      </c>
      <c r="L267" s="10" t="s">
        <v>1748</v>
      </c>
      <c r="M267" s="9">
        <v>5</v>
      </c>
      <c r="N267" s="9" t="s">
        <v>62</v>
      </c>
      <c r="O267" s="10" t="s">
        <v>1749</v>
      </c>
      <c r="P267" s="10" t="s">
        <v>1750</v>
      </c>
      <c r="Q267" s="9">
        <v>1</v>
      </c>
      <c r="R267" s="10"/>
      <c r="S267" s="10"/>
      <c r="T267" s="9"/>
      <c r="U267" s="9"/>
    </row>
    <row r="268" spans="1:21" ht="92.4" x14ac:dyDescent="0.3">
      <c r="A268" s="19" t="s">
        <v>1248</v>
      </c>
      <c r="B268" s="20">
        <v>12</v>
      </c>
      <c r="C268" s="9" t="s">
        <v>238</v>
      </c>
      <c r="D268" s="9" t="s">
        <v>565</v>
      </c>
      <c r="E268" s="9" t="s">
        <v>1721</v>
      </c>
      <c r="F268" s="9" t="s">
        <v>1751</v>
      </c>
      <c r="G268" s="9" t="s">
        <v>1751</v>
      </c>
      <c r="H268" s="9">
        <v>267</v>
      </c>
      <c r="I268" s="10" t="s">
        <v>1752</v>
      </c>
      <c r="J268" s="10" t="s">
        <v>1753</v>
      </c>
      <c r="K268" s="9">
        <v>7</v>
      </c>
      <c r="L268" s="10" t="s">
        <v>1754</v>
      </c>
      <c r="M268" s="9">
        <v>5</v>
      </c>
      <c r="N268" s="9" t="s">
        <v>62</v>
      </c>
      <c r="O268" s="10" t="s">
        <v>1755</v>
      </c>
      <c r="P268" s="10" t="s">
        <v>60</v>
      </c>
      <c r="Q268" s="9">
        <v>0</v>
      </c>
      <c r="R268" s="10" t="s">
        <v>1756</v>
      </c>
      <c r="S268" s="10"/>
      <c r="T268" s="9" t="s">
        <v>1757</v>
      </c>
      <c r="U268" s="9"/>
    </row>
    <row r="269" spans="1:21" ht="92.4" x14ac:dyDescent="0.3">
      <c r="A269" s="19" t="s">
        <v>1758</v>
      </c>
      <c r="B269" s="20">
        <v>12</v>
      </c>
      <c r="C269" s="9" t="s">
        <v>238</v>
      </c>
      <c r="D269" s="9" t="s">
        <v>318</v>
      </c>
      <c r="E269" s="9" t="s">
        <v>1759</v>
      </c>
      <c r="F269" s="9" t="s">
        <v>1760</v>
      </c>
      <c r="G269" s="9" t="s">
        <v>1761</v>
      </c>
      <c r="H269" s="9">
        <v>268</v>
      </c>
      <c r="I269" s="10" t="s">
        <v>1762</v>
      </c>
      <c r="J269" s="10" t="s">
        <v>60</v>
      </c>
      <c r="K269" s="9">
        <v>0</v>
      </c>
      <c r="L269" s="10" t="s">
        <v>1763</v>
      </c>
      <c r="M269" s="9">
        <v>3</v>
      </c>
      <c r="N269" s="9" t="s">
        <v>62</v>
      </c>
      <c r="O269" s="10" t="s">
        <v>1764</v>
      </c>
      <c r="P269" s="10" t="s">
        <v>1765</v>
      </c>
      <c r="Q269" s="9">
        <v>2</v>
      </c>
      <c r="R269" s="10"/>
      <c r="S269" s="10"/>
      <c r="T269" s="9"/>
      <c r="U269" s="9"/>
    </row>
    <row r="270" spans="1:21" ht="66" x14ac:dyDescent="0.3">
      <c r="A270" s="19" t="s">
        <v>1766</v>
      </c>
      <c r="B270" s="20">
        <v>12</v>
      </c>
      <c r="C270" s="9" t="s">
        <v>238</v>
      </c>
      <c r="D270" s="9" t="s">
        <v>318</v>
      </c>
      <c r="E270" s="9" t="s">
        <v>1759</v>
      </c>
      <c r="F270" s="9" t="s">
        <v>1760</v>
      </c>
      <c r="G270" s="9" t="s">
        <v>1767</v>
      </c>
      <c r="H270" s="9">
        <v>269</v>
      </c>
      <c r="I270" s="10" t="s">
        <v>1768</v>
      </c>
      <c r="J270" s="10" t="s">
        <v>1769</v>
      </c>
      <c r="K270" s="9">
        <v>2</v>
      </c>
      <c r="L270" s="10" t="s">
        <v>1770</v>
      </c>
      <c r="M270" s="9">
        <v>4</v>
      </c>
      <c r="N270" s="9" t="s">
        <v>62</v>
      </c>
      <c r="O270" s="10" t="s">
        <v>1771</v>
      </c>
      <c r="P270" s="10" t="s">
        <v>60</v>
      </c>
      <c r="Q270" s="9">
        <v>0</v>
      </c>
      <c r="R270" s="10"/>
      <c r="S270" s="10"/>
      <c r="T270" s="9"/>
      <c r="U270" s="9"/>
    </row>
    <row r="271" spans="1:21" ht="66" x14ac:dyDescent="0.3">
      <c r="A271" s="19" t="s">
        <v>1772</v>
      </c>
      <c r="B271" s="20">
        <v>12</v>
      </c>
      <c r="C271" s="9" t="s">
        <v>238</v>
      </c>
      <c r="D271" s="9" t="s">
        <v>318</v>
      </c>
      <c r="E271" s="9" t="s">
        <v>1759</v>
      </c>
      <c r="F271" s="9" t="s">
        <v>1760</v>
      </c>
      <c r="G271" s="9" t="s">
        <v>1773</v>
      </c>
      <c r="H271" s="9">
        <v>270</v>
      </c>
      <c r="I271" s="10" t="s">
        <v>1774</v>
      </c>
      <c r="J271" s="10" t="s">
        <v>1775</v>
      </c>
      <c r="K271" s="9">
        <v>4</v>
      </c>
      <c r="L271" s="10" t="s">
        <v>1776</v>
      </c>
      <c r="M271" s="9">
        <v>4</v>
      </c>
      <c r="N271" s="9" t="s">
        <v>62</v>
      </c>
      <c r="O271" s="10" t="s">
        <v>1777</v>
      </c>
      <c r="P271" s="10" t="s">
        <v>60</v>
      </c>
      <c r="Q271" s="9">
        <v>0</v>
      </c>
      <c r="R271" s="10" t="s">
        <v>1778</v>
      </c>
      <c r="S271" s="10"/>
      <c r="T271" s="9"/>
      <c r="U271" s="9"/>
    </row>
    <row r="272" spans="1:21" ht="52.8" x14ac:dyDescent="0.3">
      <c r="A272" s="19" t="s">
        <v>1779</v>
      </c>
      <c r="B272" s="20">
        <v>12</v>
      </c>
      <c r="C272" s="9" t="s">
        <v>238</v>
      </c>
      <c r="D272" s="9" t="s">
        <v>318</v>
      </c>
      <c r="E272" s="9" t="s">
        <v>1759</v>
      </c>
      <c r="F272" s="9" t="s">
        <v>1780</v>
      </c>
      <c r="G272" s="9" t="s">
        <v>1781</v>
      </c>
      <c r="H272" s="9">
        <v>271</v>
      </c>
      <c r="I272" s="10" t="s">
        <v>1782</v>
      </c>
      <c r="J272" s="10" t="s">
        <v>1783</v>
      </c>
      <c r="K272" s="9">
        <v>2</v>
      </c>
      <c r="L272" s="10" t="s">
        <v>1784</v>
      </c>
      <c r="M272" s="9">
        <v>4</v>
      </c>
      <c r="N272" s="9" t="s">
        <v>62</v>
      </c>
      <c r="O272" s="10" t="s">
        <v>607</v>
      </c>
      <c r="P272" s="10" t="s">
        <v>60</v>
      </c>
      <c r="Q272" s="9">
        <v>0</v>
      </c>
      <c r="R272" s="10"/>
      <c r="S272" s="10"/>
      <c r="T272" s="9"/>
      <c r="U272" s="9"/>
    </row>
    <row r="273" spans="1:21" ht="39.6" x14ac:dyDescent="0.3">
      <c r="A273" s="19" t="s">
        <v>1785</v>
      </c>
      <c r="B273" s="20">
        <v>12</v>
      </c>
      <c r="C273" s="9" t="s">
        <v>238</v>
      </c>
      <c r="D273" s="9" t="s">
        <v>318</v>
      </c>
      <c r="E273" s="9" t="s">
        <v>1759</v>
      </c>
      <c r="F273" s="9" t="s">
        <v>1780</v>
      </c>
      <c r="G273" s="9" t="s">
        <v>1786</v>
      </c>
      <c r="H273" s="9">
        <v>272</v>
      </c>
      <c r="I273" s="10" t="s">
        <v>1787</v>
      </c>
      <c r="J273" s="10" t="s">
        <v>60</v>
      </c>
      <c r="K273" s="9">
        <v>0</v>
      </c>
      <c r="L273" s="10" t="s">
        <v>60</v>
      </c>
      <c r="M273" s="9">
        <v>0</v>
      </c>
      <c r="N273" s="9" t="s">
        <v>62</v>
      </c>
      <c r="O273" s="10" t="s">
        <v>607</v>
      </c>
      <c r="P273" s="10" t="s">
        <v>60</v>
      </c>
      <c r="Q273" s="9">
        <v>0</v>
      </c>
      <c r="R273" s="10"/>
      <c r="S273" s="10"/>
      <c r="T273" s="9"/>
      <c r="U273" s="9"/>
    </row>
    <row r="274" spans="1:21" ht="118.8" x14ac:dyDescent="0.3">
      <c r="A274" s="19" t="s">
        <v>1788</v>
      </c>
      <c r="B274" s="20">
        <v>12</v>
      </c>
      <c r="C274" s="9" t="s">
        <v>238</v>
      </c>
      <c r="D274" s="9" t="s">
        <v>318</v>
      </c>
      <c r="E274" s="9" t="s">
        <v>1759</v>
      </c>
      <c r="F274" s="9" t="s">
        <v>1780</v>
      </c>
      <c r="G274" s="9" t="s">
        <v>1789</v>
      </c>
      <c r="H274" s="9">
        <v>273</v>
      </c>
      <c r="I274" s="10" t="s">
        <v>1790</v>
      </c>
      <c r="J274" s="10" t="s">
        <v>1791</v>
      </c>
      <c r="K274" s="9">
        <v>9</v>
      </c>
      <c r="L274" s="10" t="s">
        <v>1792</v>
      </c>
      <c r="M274" s="9">
        <v>7</v>
      </c>
      <c r="N274" s="9" t="s">
        <v>62</v>
      </c>
      <c r="O274" s="10" t="s">
        <v>1793</v>
      </c>
      <c r="P274" s="10" t="s">
        <v>1794</v>
      </c>
      <c r="Q274" s="9">
        <v>3</v>
      </c>
      <c r="R274" s="10"/>
      <c r="S274" s="10"/>
      <c r="T274" s="9"/>
      <c r="U274" s="9"/>
    </row>
    <row r="275" spans="1:21" ht="39.6" x14ac:dyDescent="0.3">
      <c r="A275" s="19" t="s">
        <v>1795</v>
      </c>
      <c r="B275" s="20">
        <v>12</v>
      </c>
      <c r="C275" s="9" t="s">
        <v>238</v>
      </c>
      <c r="D275" s="9" t="s">
        <v>318</v>
      </c>
      <c r="E275" s="9" t="s">
        <v>1759</v>
      </c>
      <c r="F275" s="9" t="s">
        <v>1780</v>
      </c>
      <c r="G275" s="9" t="s">
        <v>1796</v>
      </c>
      <c r="H275" s="9">
        <v>274</v>
      </c>
      <c r="I275" s="10" t="s">
        <v>1797</v>
      </c>
      <c r="J275" s="10" t="s">
        <v>1798</v>
      </c>
      <c r="K275" s="9">
        <v>3</v>
      </c>
      <c r="L275" s="10" t="s">
        <v>1799</v>
      </c>
      <c r="M275" s="9">
        <v>3</v>
      </c>
      <c r="N275" s="9" t="s">
        <v>126</v>
      </c>
      <c r="O275" s="10" t="s">
        <v>538</v>
      </c>
      <c r="P275" s="10" t="s">
        <v>60</v>
      </c>
      <c r="Q275" s="9">
        <v>0</v>
      </c>
      <c r="R275" s="10"/>
      <c r="S275" s="10"/>
      <c r="T275" s="9"/>
      <c r="U275" s="9"/>
    </row>
    <row r="276" spans="1:21" ht="66" x14ac:dyDescent="0.3">
      <c r="A276" s="19" t="s">
        <v>1800</v>
      </c>
      <c r="B276" s="20">
        <v>12</v>
      </c>
      <c r="C276" s="9" t="s">
        <v>238</v>
      </c>
      <c r="D276" s="9" t="s">
        <v>318</v>
      </c>
      <c r="E276" s="9" t="s">
        <v>1759</v>
      </c>
      <c r="F276" s="9" t="s">
        <v>1801</v>
      </c>
      <c r="G276" s="9" t="s">
        <v>1802</v>
      </c>
      <c r="H276" s="9">
        <v>275</v>
      </c>
      <c r="I276" s="10" t="s">
        <v>1803</v>
      </c>
      <c r="J276" s="10" t="s">
        <v>1804</v>
      </c>
      <c r="K276" s="9">
        <v>4</v>
      </c>
      <c r="L276" s="10" t="s">
        <v>1805</v>
      </c>
      <c r="M276" s="9">
        <v>3</v>
      </c>
      <c r="N276" s="9" t="s">
        <v>62</v>
      </c>
      <c r="O276" s="10" t="s">
        <v>607</v>
      </c>
      <c r="P276" s="10" t="s">
        <v>60</v>
      </c>
      <c r="Q276" s="9">
        <v>0</v>
      </c>
      <c r="R276" s="10"/>
      <c r="S276" s="10"/>
      <c r="T276" s="9"/>
      <c r="U276" s="9"/>
    </row>
    <row r="277" spans="1:21" ht="52.8" x14ac:dyDescent="0.3">
      <c r="A277" s="19" t="s">
        <v>1806</v>
      </c>
      <c r="B277" s="20">
        <v>12</v>
      </c>
      <c r="C277" s="9" t="s">
        <v>238</v>
      </c>
      <c r="D277" s="9" t="s">
        <v>318</v>
      </c>
      <c r="E277" s="9" t="s">
        <v>1759</v>
      </c>
      <c r="F277" s="9" t="s">
        <v>1801</v>
      </c>
      <c r="G277" s="9" t="s">
        <v>1807</v>
      </c>
      <c r="H277" s="9">
        <v>276</v>
      </c>
      <c r="I277" s="10" t="s">
        <v>1808</v>
      </c>
      <c r="J277" s="10" t="s">
        <v>1809</v>
      </c>
      <c r="K277" s="9">
        <v>4</v>
      </c>
      <c r="L277" s="10" t="s">
        <v>1810</v>
      </c>
      <c r="M277" s="9">
        <v>3</v>
      </c>
      <c r="N277" s="9" t="s">
        <v>62</v>
      </c>
      <c r="O277" s="10" t="s">
        <v>1811</v>
      </c>
      <c r="P277" s="10" t="s">
        <v>1812</v>
      </c>
      <c r="Q277" s="9">
        <v>1</v>
      </c>
      <c r="R277" s="10"/>
      <c r="S277" s="10"/>
      <c r="T277" s="9"/>
      <c r="U277" s="9"/>
    </row>
    <row r="278" spans="1:21" ht="132" x14ac:dyDescent="0.3">
      <c r="A278" s="19" t="s">
        <v>1813</v>
      </c>
      <c r="B278" s="20">
        <v>12</v>
      </c>
      <c r="C278" s="9" t="s">
        <v>238</v>
      </c>
      <c r="D278" s="9" t="s">
        <v>318</v>
      </c>
      <c r="E278" s="9" t="s">
        <v>1759</v>
      </c>
      <c r="F278" s="9" t="s">
        <v>1801</v>
      </c>
      <c r="G278" s="9" t="s">
        <v>1814</v>
      </c>
      <c r="H278" s="9">
        <v>277</v>
      </c>
      <c r="I278" s="10" t="s">
        <v>1815</v>
      </c>
      <c r="J278" s="10" t="s">
        <v>1816</v>
      </c>
      <c r="K278" s="9">
        <v>8</v>
      </c>
      <c r="L278" s="10" t="s">
        <v>1817</v>
      </c>
      <c r="M278" s="9">
        <v>6</v>
      </c>
      <c r="N278" s="9" t="s">
        <v>62</v>
      </c>
      <c r="O278" s="10" t="s">
        <v>1818</v>
      </c>
      <c r="P278" s="10" t="s">
        <v>1819</v>
      </c>
      <c r="Q278" s="9">
        <v>3</v>
      </c>
      <c r="R278" s="10" t="s">
        <v>1820</v>
      </c>
      <c r="S278" s="10"/>
      <c r="T278" s="9"/>
      <c r="U278" s="9"/>
    </row>
  </sheetData>
  <autoFilter ref="A1:U27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7" customWidth="1"/>
    <col min="3" max="4" width="12" customWidth="1"/>
    <col min="5" max="5" width="30" customWidth="1"/>
    <col min="6" max="6" width="32" customWidth="1"/>
    <col min="7" max="7" width="38" customWidth="1"/>
    <col min="8" max="8" width="9" customWidth="1"/>
    <col min="9" max="10" width="70" customWidth="1"/>
    <col min="11" max="11" width="9" customWidth="1"/>
    <col min="12" max="12" width="70" customWidth="1"/>
    <col min="13" max="13" width="9" customWidth="1"/>
    <col min="14" max="14" width="14" customWidth="1"/>
    <col min="15" max="15" width="55" customWidth="1"/>
    <col min="16" max="16" width="60" customWidth="1"/>
    <col min="17" max="17" width="9" customWidth="1"/>
    <col min="18" max="18" width="50" customWidth="1"/>
    <col min="19" max="19" width="45" customWidth="1"/>
    <col min="20" max="21" width="26" customWidth="1"/>
  </cols>
  <sheetData>
    <row r="1" spans="1:21" ht="30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</row>
    <row r="2" spans="1:21" ht="79.2" x14ac:dyDescent="0.3">
      <c r="A2" s="7" t="s">
        <v>53</v>
      </c>
      <c r="B2" s="8">
        <v>7</v>
      </c>
      <c r="C2" s="9" t="s">
        <v>54</v>
      </c>
      <c r="D2" s="9" t="s">
        <v>55</v>
      </c>
      <c r="E2" s="9" t="s">
        <v>56</v>
      </c>
      <c r="F2" s="9" t="s">
        <v>57</v>
      </c>
      <c r="G2" s="9" t="s">
        <v>58</v>
      </c>
      <c r="H2" s="9">
        <v>1</v>
      </c>
      <c r="I2" s="10" t="s">
        <v>59</v>
      </c>
      <c r="J2" s="10" t="s">
        <v>60</v>
      </c>
      <c r="K2" s="9">
        <v>0</v>
      </c>
      <c r="L2" s="10" t="s">
        <v>61</v>
      </c>
      <c r="M2" s="9">
        <v>3</v>
      </c>
      <c r="N2" s="9" t="s">
        <v>62</v>
      </c>
      <c r="O2" s="10" t="s">
        <v>63</v>
      </c>
      <c r="P2" s="10" t="s">
        <v>64</v>
      </c>
      <c r="Q2" s="9">
        <v>2</v>
      </c>
      <c r="R2" s="10"/>
      <c r="S2" s="10"/>
      <c r="T2" s="9"/>
      <c r="U2" s="9"/>
    </row>
    <row r="3" spans="1:21" ht="66" x14ac:dyDescent="0.3">
      <c r="A3" s="7" t="s">
        <v>65</v>
      </c>
      <c r="B3" s="8">
        <v>7</v>
      </c>
      <c r="C3" s="9" t="s">
        <v>54</v>
      </c>
      <c r="D3" s="9" t="s">
        <v>55</v>
      </c>
      <c r="E3" s="9" t="s">
        <v>56</v>
      </c>
      <c r="F3" s="9" t="s">
        <v>57</v>
      </c>
      <c r="G3" s="9" t="s">
        <v>66</v>
      </c>
      <c r="H3" s="9">
        <v>2</v>
      </c>
      <c r="I3" s="10" t="s">
        <v>67</v>
      </c>
      <c r="J3" s="10" t="s">
        <v>68</v>
      </c>
      <c r="K3" s="9">
        <v>1</v>
      </c>
      <c r="L3" s="10" t="s">
        <v>69</v>
      </c>
      <c r="M3" s="9">
        <v>3</v>
      </c>
      <c r="N3" s="9" t="s">
        <v>62</v>
      </c>
      <c r="O3" s="10" t="s">
        <v>70</v>
      </c>
      <c r="P3" s="10" t="s">
        <v>71</v>
      </c>
      <c r="Q3" s="9">
        <v>2</v>
      </c>
      <c r="R3" s="10"/>
      <c r="S3" s="10"/>
      <c r="T3" s="9"/>
      <c r="U3" s="9"/>
    </row>
    <row r="4" spans="1:21" ht="79.2" x14ac:dyDescent="0.3">
      <c r="A4" s="7" t="s">
        <v>72</v>
      </c>
      <c r="B4" s="8">
        <v>7</v>
      </c>
      <c r="C4" s="9" t="s">
        <v>54</v>
      </c>
      <c r="D4" s="9" t="s">
        <v>55</v>
      </c>
      <c r="E4" s="9" t="s">
        <v>56</v>
      </c>
      <c r="F4" s="9" t="s">
        <v>57</v>
      </c>
      <c r="G4" s="9" t="s">
        <v>73</v>
      </c>
      <c r="H4" s="9">
        <v>3</v>
      </c>
      <c r="I4" s="10" t="s">
        <v>74</v>
      </c>
      <c r="J4" s="10" t="s">
        <v>60</v>
      </c>
      <c r="K4" s="9">
        <v>0</v>
      </c>
      <c r="L4" s="10" t="s">
        <v>75</v>
      </c>
      <c r="M4" s="9">
        <v>2</v>
      </c>
      <c r="N4" s="9" t="s">
        <v>76</v>
      </c>
      <c r="O4" s="10" t="s">
        <v>77</v>
      </c>
      <c r="P4" s="10" t="s">
        <v>78</v>
      </c>
      <c r="Q4" s="9">
        <v>1</v>
      </c>
      <c r="R4" s="10"/>
      <c r="S4" s="10"/>
      <c r="T4" s="9"/>
      <c r="U4" s="9"/>
    </row>
    <row r="5" spans="1:21" ht="52.8" x14ac:dyDescent="0.3">
      <c r="A5" s="7" t="s">
        <v>79</v>
      </c>
      <c r="B5" s="8">
        <v>7</v>
      </c>
      <c r="C5" s="9" t="s">
        <v>54</v>
      </c>
      <c r="D5" s="9" t="s">
        <v>55</v>
      </c>
      <c r="E5" s="9" t="s">
        <v>56</v>
      </c>
      <c r="F5" s="9" t="s">
        <v>57</v>
      </c>
      <c r="G5" s="9" t="s">
        <v>80</v>
      </c>
      <c r="H5" s="9">
        <v>4</v>
      </c>
      <c r="I5" s="10" t="s">
        <v>81</v>
      </c>
      <c r="J5" s="10" t="s">
        <v>60</v>
      </c>
      <c r="K5" s="9">
        <v>0</v>
      </c>
      <c r="L5" s="10" t="s">
        <v>82</v>
      </c>
      <c r="M5" s="9">
        <v>2</v>
      </c>
      <c r="N5" s="9" t="s">
        <v>76</v>
      </c>
      <c r="O5" s="10" t="s">
        <v>83</v>
      </c>
      <c r="P5" s="10" t="s">
        <v>60</v>
      </c>
      <c r="Q5" s="9">
        <v>0</v>
      </c>
      <c r="R5" s="10"/>
      <c r="S5" s="10"/>
      <c r="T5" s="9"/>
      <c r="U5" s="9"/>
    </row>
    <row r="6" spans="1:21" ht="39.6" x14ac:dyDescent="0.3">
      <c r="A6" s="7" t="s">
        <v>84</v>
      </c>
      <c r="B6" s="8">
        <v>7</v>
      </c>
      <c r="C6" s="9" t="s">
        <v>54</v>
      </c>
      <c r="D6" s="9" t="s">
        <v>55</v>
      </c>
      <c r="E6" s="9" t="s">
        <v>56</v>
      </c>
      <c r="F6" s="9" t="s">
        <v>57</v>
      </c>
      <c r="G6" s="9" t="s">
        <v>85</v>
      </c>
      <c r="H6" s="9">
        <v>5</v>
      </c>
      <c r="I6" s="10" t="s">
        <v>86</v>
      </c>
      <c r="J6" s="10" t="s">
        <v>60</v>
      </c>
      <c r="K6" s="9">
        <v>0</v>
      </c>
      <c r="L6" s="10" t="s">
        <v>60</v>
      </c>
      <c r="M6" s="9">
        <v>0</v>
      </c>
      <c r="N6" s="9" t="s">
        <v>87</v>
      </c>
      <c r="O6" s="10" t="s">
        <v>88</v>
      </c>
      <c r="P6" s="10" t="s">
        <v>60</v>
      </c>
      <c r="Q6" s="9">
        <v>0</v>
      </c>
      <c r="R6" s="10"/>
      <c r="S6" s="10"/>
      <c r="T6" s="9"/>
      <c r="U6" s="9"/>
    </row>
    <row r="7" spans="1:21" ht="66" x14ac:dyDescent="0.3">
      <c r="A7" s="7" t="s">
        <v>89</v>
      </c>
      <c r="B7" s="8">
        <v>7</v>
      </c>
      <c r="C7" s="9" t="s">
        <v>54</v>
      </c>
      <c r="D7" s="9" t="s">
        <v>55</v>
      </c>
      <c r="E7" s="9" t="s">
        <v>56</v>
      </c>
      <c r="F7" s="9" t="s">
        <v>57</v>
      </c>
      <c r="G7" s="9" t="s">
        <v>90</v>
      </c>
      <c r="H7" s="9">
        <v>6</v>
      </c>
      <c r="I7" s="10" t="s">
        <v>91</v>
      </c>
      <c r="J7" s="10" t="s">
        <v>92</v>
      </c>
      <c r="K7" s="9">
        <v>5</v>
      </c>
      <c r="L7" s="10" t="s">
        <v>93</v>
      </c>
      <c r="M7" s="9">
        <v>4</v>
      </c>
      <c r="N7" s="9" t="s">
        <v>62</v>
      </c>
      <c r="O7" s="10" t="s">
        <v>94</v>
      </c>
      <c r="P7" s="10" t="s">
        <v>95</v>
      </c>
      <c r="Q7" s="9">
        <v>2</v>
      </c>
      <c r="R7" s="10"/>
      <c r="S7" s="10"/>
      <c r="T7" s="9"/>
      <c r="U7" s="9" t="s">
        <v>96</v>
      </c>
    </row>
    <row r="8" spans="1:21" ht="79.2" x14ac:dyDescent="0.3">
      <c r="A8" s="7" t="s">
        <v>97</v>
      </c>
      <c r="B8" s="8">
        <v>7</v>
      </c>
      <c r="C8" s="9" t="s">
        <v>54</v>
      </c>
      <c r="D8" s="9" t="s">
        <v>55</v>
      </c>
      <c r="E8" s="9" t="s">
        <v>56</v>
      </c>
      <c r="F8" s="9" t="s">
        <v>57</v>
      </c>
      <c r="G8" s="9" t="s">
        <v>98</v>
      </c>
      <c r="H8" s="9">
        <v>7</v>
      </c>
      <c r="I8" s="10" t="s">
        <v>99</v>
      </c>
      <c r="J8" s="10" t="s">
        <v>60</v>
      </c>
      <c r="K8" s="9">
        <v>0</v>
      </c>
      <c r="L8" s="10" t="s">
        <v>100</v>
      </c>
      <c r="M8" s="9">
        <v>2</v>
      </c>
      <c r="N8" s="9" t="s">
        <v>101</v>
      </c>
      <c r="O8" s="10" t="s">
        <v>102</v>
      </c>
      <c r="P8" s="10" t="s">
        <v>103</v>
      </c>
      <c r="Q8" s="9">
        <v>2</v>
      </c>
      <c r="R8" s="10"/>
      <c r="S8" s="10"/>
      <c r="T8" s="9"/>
      <c r="U8" s="9" t="s">
        <v>104</v>
      </c>
    </row>
    <row r="9" spans="1:21" ht="105.6" x14ac:dyDescent="0.3">
      <c r="A9" s="7" t="s">
        <v>105</v>
      </c>
      <c r="B9" s="8">
        <v>7</v>
      </c>
      <c r="C9" s="9" t="s">
        <v>54</v>
      </c>
      <c r="D9" s="9" t="s">
        <v>55</v>
      </c>
      <c r="E9" s="9" t="s">
        <v>56</v>
      </c>
      <c r="F9" s="9" t="s">
        <v>106</v>
      </c>
      <c r="G9" s="9" t="s">
        <v>107</v>
      </c>
      <c r="H9" s="9">
        <v>8</v>
      </c>
      <c r="I9" s="10" t="s">
        <v>108</v>
      </c>
      <c r="J9" s="10" t="s">
        <v>109</v>
      </c>
      <c r="K9" s="9">
        <v>4</v>
      </c>
      <c r="L9" s="10" t="s">
        <v>110</v>
      </c>
      <c r="M9" s="9">
        <v>6</v>
      </c>
      <c r="N9" s="9" t="s">
        <v>62</v>
      </c>
      <c r="O9" s="10" t="s">
        <v>111</v>
      </c>
      <c r="P9" s="10" t="s">
        <v>112</v>
      </c>
      <c r="Q9" s="9">
        <v>3</v>
      </c>
      <c r="R9" s="10"/>
      <c r="S9" s="10" t="s">
        <v>113</v>
      </c>
      <c r="T9" s="9"/>
      <c r="U9" s="9" t="s">
        <v>114</v>
      </c>
    </row>
    <row r="10" spans="1:21" ht="52.8" x14ac:dyDescent="0.3">
      <c r="A10" s="7" t="s">
        <v>115</v>
      </c>
      <c r="B10" s="8">
        <v>7</v>
      </c>
      <c r="C10" s="9" t="s">
        <v>54</v>
      </c>
      <c r="D10" s="9" t="s">
        <v>55</v>
      </c>
      <c r="E10" s="9" t="s">
        <v>56</v>
      </c>
      <c r="F10" s="9" t="s">
        <v>106</v>
      </c>
      <c r="G10" s="9" t="s">
        <v>116</v>
      </c>
      <c r="H10" s="9">
        <v>9</v>
      </c>
      <c r="I10" s="10" t="s">
        <v>117</v>
      </c>
      <c r="J10" s="10" t="s">
        <v>118</v>
      </c>
      <c r="K10" s="9">
        <v>2</v>
      </c>
      <c r="L10" s="10" t="s">
        <v>119</v>
      </c>
      <c r="M10" s="9">
        <v>3</v>
      </c>
      <c r="N10" s="9" t="s">
        <v>62</v>
      </c>
      <c r="O10" s="10" t="s">
        <v>120</v>
      </c>
      <c r="P10" s="10" t="s">
        <v>121</v>
      </c>
      <c r="Q10" s="9">
        <v>1</v>
      </c>
      <c r="R10" s="10"/>
      <c r="S10" s="10"/>
      <c r="T10" s="9"/>
      <c r="U10" s="9"/>
    </row>
    <row r="11" spans="1:21" ht="79.2" x14ac:dyDescent="0.3">
      <c r="A11" s="7" t="s">
        <v>122</v>
      </c>
      <c r="B11" s="8">
        <v>7</v>
      </c>
      <c r="C11" s="9" t="s">
        <v>54</v>
      </c>
      <c r="D11" s="9" t="s">
        <v>55</v>
      </c>
      <c r="E11" s="9" t="s">
        <v>56</v>
      </c>
      <c r="F11" s="9" t="s">
        <v>106</v>
      </c>
      <c r="G11" s="9" t="s">
        <v>123</v>
      </c>
      <c r="H11" s="9">
        <v>10</v>
      </c>
      <c r="I11" s="10" t="s">
        <v>124</v>
      </c>
      <c r="J11" s="10" t="s">
        <v>60</v>
      </c>
      <c r="K11" s="9">
        <v>0</v>
      </c>
      <c r="L11" s="10" t="s">
        <v>125</v>
      </c>
      <c r="M11" s="9">
        <v>2</v>
      </c>
      <c r="N11" s="9" t="s">
        <v>126</v>
      </c>
      <c r="O11" s="10" t="s">
        <v>127</v>
      </c>
      <c r="P11" s="10" t="s">
        <v>60</v>
      </c>
      <c r="Q11" s="9">
        <v>0</v>
      </c>
      <c r="R11" s="10" t="s">
        <v>128</v>
      </c>
      <c r="S11" s="10"/>
      <c r="T11" s="9"/>
      <c r="U11" s="9"/>
    </row>
    <row r="12" spans="1:21" ht="105.6" x14ac:dyDescent="0.3">
      <c r="A12" s="7" t="s">
        <v>129</v>
      </c>
      <c r="B12" s="8">
        <v>7</v>
      </c>
      <c r="C12" s="9" t="s">
        <v>54</v>
      </c>
      <c r="D12" s="9" t="s">
        <v>55</v>
      </c>
      <c r="E12" s="9" t="s">
        <v>56</v>
      </c>
      <c r="F12" s="9" t="s">
        <v>130</v>
      </c>
      <c r="G12" s="9" t="s">
        <v>131</v>
      </c>
      <c r="H12" s="9">
        <v>11</v>
      </c>
      <c r="I12" s="10" t="s">
        <v>132</v>
      </c>
      <c r="J12" s="10" t="s">
        <v>133</v>
      </c>
      <c r="K12" s="9">
        <v>2</v>
      </c>
      <c r="L12" s="10" t="s">
        <v>134</v>
      </c>
      <c r="M12" s="9">
        <v>3</v>
      </c>
      <c r="N12" s="9" t="s">
        <v>62</v>
      </c>
      <c r="O12" s="10" t="s">
        <v>135</v>
      </c>
      <c r="P12" s="10" t="s">
        <v>136</v>
      </c>
      <c r="Q12" s="9">
        <v>2</v>
      </c>
      <c r="R12" s="10"/>
      <c r="S12" s="10"/>
      <c r="T12" s="9"/>
      <c r="U12" s="9"/>
    </row>
    <row r="13" spans="1:21" ht="52.8" x14ac:dyDescent="0.3">
      <c r="A13" s="7" t="s">
        <v>137</v>
      </c>
      <c r="B13" s="8">
        <v>7</v>
      </c>
      <c r="C13" s="9" t="s">
        <v>54</v>
      </c>
      <c r="D13" s="9" t="s">
        <v>55</v>
      </c>
      <c r="E13" s="9" t="s">
        <v>56</v>
      </c>
      <c r="F13" s="9" t="s">
        <v>130</v>
      </c>
      <c r="G13" s="9" t="s">
        <v>138</v>
      </c>
      <c r="H13" s="9">
        <v>12</v>
      </c>
      <c r="I13" s="10" t="s">
        <v>139</v>
      </c>
      <c r="J13" s="10" t="s">
        <v>60</v>
      </c>
      <c r="K13" s="9">
        <v>0</v>
      </c>
      <c r="L13" s="10" t="s">
        <v>140</v>
      </c>
      <c r="M13" s="9">
        <v>3</v>
      </c>
      <c r="N13" s="9" t="s">
        <v>101</v>
      </c>
      <c r="O13" s="10" t="s">
        <v>141</v>
      </c>
      <c r="P13" s="10" t="s">
        <v>142</v>
      </c>
      <c r="Q13" s="9">
        <v>1</v>
      </c>
      <c r="R13" s="10"/>
      <c r="S13" s="10"/>
      <c r="T13" s="9"/>
      <c r="U13" s="9"/>
    </row>
    <row r="14" spans="1:21" ht="52.8" x14ac:dyDescent="0.3">
      <c r="A14" s="7" t="s">
        <v>143</v>
      </c>
      <c r="B14" s="8">
        <v>7</v>
      </c>
      <c r="C14" s="9" t="s">
        <v>54</v>
      </c>
      <c r="D14" s="9" t="s">
        <v>55</v>
      </c>
      <c r="E14" s="9" t="s">
        <v>56</v>
      </c>
      <c r="F14" s="9" t="s">
        <v>130</v>
      </c>
      <c r="G14" s="9" t="s">
        <v>144</v>
      </c>
      <c r="H14" s="9">
        <v>13</v>
      </c>
      <c r="I14" s="10" t="s">
        <v>145</v>
      </c>
      <c r="J14" s="10" t="s">
        <v>60</v>
      </c>
      <c r="K14" s="9">
        <v>0</v>
      </c>
      <c r="L14" s="10" t="s">
        <v>146</v>
      </c>
      <c r="M14" s="9">
        <v>2</v>
      </c>
      <c r="N14" s="9" t="s">
        <v>87</v>
      </c>
      <c r="O14" s="10" t="s">
        <v>147</v>
      </c>
      <c r="P14" s="10" t="s">
        <v>60</v>
      </c>
      <c r="Q14" s="9">
        <v>0</v>
      </c>
      <c r="R14" s="10"/>
      <c r="S14" s="10"/>
      <c r="T14" s="9"/>
      <c r="U14" s="9"/>
    </row>
    <row r="15" spans="1:21" ht="26.4" x14ac:dyDescent="0.3">
      <c r="A15" s="7" t="s">
        <v>148</v>
      </c>
      <c r="B15" s="8">
        <v>7</v>
      </c>
      <c r="C15" s="9" t="s">
        <v>54</v>
      </c>
      <c r="D15" s="9" t="s">
        <v>55</v>
      </c>
      <c r="E15" s="9" t="s">
        <v>56</v>
      </c>
      <c r="F15" s="9" t="s">
        <v>149</v>
      </c>
      <c r="G15" s="9" t="s">
        <v>150</v>
      </c>
      <c r="H15" s="9">
        <v>14</v>
      </c>
      <c r="I15" s="10" t="s">
        <v>151</v>
      </c>
      <c r="J15" s="10" t="s">
        <v>60</v>
      </c>
      <c r="K15" s="9">
        <v>0</v>
      </c>
      <c r="L15" s="10" t="s">
        <v>60</v>
      </c>
      <c r="M15" s="9">
        <v>0</v>
      </c>
      <c r="N15" s="9" t="s">
        <v>87</v>
      </c>
      <c r="O15" s="10" t="s">
        <v>152</v>
      </c>
      <c r="P15" s="10" t="s">
        <v>60</v>
      </c>
      <c r="Q15" s="9">
        <v>0</v>
      </c>
      <c r="R15" s="10"/>
      <c r="S15" s="10"/>
      <c r="T15" s="9"/>
      <c r="U15" s="9"/>
    </row>
    <row r="16" spans="1:21" ht="66" x14ac:dyDescent="0.3">
      <c r="A16" s="7" t="s">
        <v>153</v>
      </c>
      <c r="B16" s="8">
        <v>7</v>
      </c>
      <c r="C16" s="9" t="s">
        <v>54</v>
      </c>
      <c r="D16" s="9" t="s">
        <v>55</v>
      </c>
      <c r="E16" s="9" t="s">
        <v>56</v>
      </c>
      <c r="F16" s="9" t="s">
        <v>149</v>
      </c>
      <c r="G16" s="9" t="s">
        <v>154</v>
      </c>
      <c r="H16" s="9">
        <v>15</v>
      </c>
      <c r="I16" s="10" t="s">
        <v>155</v>
      </c>
      <c r="J16" s="10" t="s">
        <v>60</v>
      </c>
      <c r="K16" s="9">
        <v>0</v>
      </c>
      <c r="L16" s="10" t="s">
        <v>156</v>
      </c>
      <c r="M16" s="9">
        <v>3</v>
      </c>
      <c r="N16" s="9" t="s">
        <v>101</v>
      </c>
      <c r="O16" s="10" t="s">
        <v>157</v>
      </c>
      <c r="P16" s="10" t="s">
        <v>158</v>
      </c>
      <c r="Q16" s="9">
        <v>2</v>
      </c>
      <c r="R16" s="10"/>
      <c r="S16" s="10"/>
      <c r="T16" s="9"/>
      <c r="U16" s="9" t="s">
        <v>159</v>
      </c>
    </row>
    <row r="17" spans="1:21" ht="66" x14ac:dyDescent="0.3">
      <c r="A17" s="7" t="s">
        <v>160</v>
      </c>
      <c r="B17" s="8">
        <v>7</v>
      </c>
      <c r="C17" s="9" t="s">
        <v>54</v>
      </c>
      <c r="D17" s="9" t="s">
        <v>55</v>
      </c>
      <c r="E17" s="9" t="s">
        <v>56</v>
      </c>
      <c r="F17" s="9" t="s">
        <v>149</v>
      </c>
      <c r="G17" s="9" t="s">
        <v>161</v>
      </c>
      <c r="H17" s="9">
        <v>16</v>
      </c>
      <c r="I17" s="10" t="s">
        <v>162</v>
      </c>
      <c r="J17" s="10" t="s">
        <v>60</v>
      </c>
      <c r="K17" s="9">
        <v>0</v>
      </c>
      <c r="L17" s="10" t="s">
        <v>163</v>
      </c>
      <c r="M17" s="9">
        <v>2</v>
      </c>
      <c r="N17" s="9" t="s">
        <v>62</v>
      </c>
      <c r="O17" s="10" t="s">
        <v>164</v>
      </c>
      <c r="P17" s="10" t="s">
        <v>165</v>
      </c>
      <c r="Q17" s="9">
        <v>2</v>
      </c>
      <c r="R17" s="10"/>
      <c r="S17" s="10"/>
      <c r="T17" s="9"/>
      <c r="U17" s="9" t="s">
        <v>166</v>
      </c>
    </row>
    <row r="18" spans="1:21" ht="79.2" x14ac:dyDescent="0.3">
      <c r="A18" s="7" t="s">
        <v>167</v>
      </c>
      <c r="B18" s="8">
        <v>7</v>
      </c>
      <c r="C18" s="9" t="s">
        <v>54</v>
      </c>
      <c r="D18" s="9" t="s">
        <v>55</v>
      </c>
      <c r="E18" s="9" t="s">
        <v>56</v>
      </c>
      <c r="F18" s="9" t="s">
        <v>149</v>
      </c>
      <c r="G18" s="9" t="s">
        <v>168</v>
      </c>
      <c r="H18" s="9">
        <v>17</v>
      </c>
      <c r="I18" s="10" t="s">
        <v>169</v>
      </c>
      <c r="J18" s="10" t="s">
        <v>60</v>
      </c>
      <c r="K18" s="9">
        <v>0</v>
      </c>
      <c r="L18" s="10" t="s">
        <v>170</v>
      </c>
      <c r="M18" s="9">
        <v>3</v>
      </c>
      <c r="N18" s="9" t="s">
        <v>62</v>
      </c>
      <c r="O18" s="10" t="s">
        <v>171</v>
      </c>
      <c r="P18" s="10" t="s">
        <v>60</v>
      </c>
      <c r="Q18" s="9">
        <v>0</v>
      </c>
      <c r="R18" s="10" t="s">
        <v>172</v>
      </c>
      <c r="S18" s="10"/>
      <c r="T18" s="9"/>
      <c r="U18" s="9" t="s">
        <v>173</v>
      </c>
    </row>
    <row r="19" spans="1:21" ht="66" x14ac:dyDescent="0.3">
      <c r="A19" s="7" t="s">
        <v>174</v>
      </c>
      <c r="B19" s="8">
        <v>7</v>
      </c>
      <c r="C19" s="9" t="s">
        <v>54</v>
      </c>
      <c r="D19" s="9" t="s">
        <v>175</v>
      </c>
      <c r="E19" s="9" t="s">
        <v>176</v>
      </c>
      <c r="F19" s="9" t="s">
        <v>177</v>
      </c>
      <c r="G19" s="9" t="s">
        <v>178</v>
      </c>
      <c r="H19" s="9">
        <v>18</v>
      </c>
      <c r="I19" s="10" t="s">
        <v>179</v>
      </c>
      <c r="J19" s="10" t="s">
        <v>180</v>
      </c>
      <c r="K19" s="9">
        <v>1</v>
      </c>
      <c r="L19" s="10" t="s">
        <v>181</v>
      </c>
      <c r="M19" s="9">
        <v>3</v>
      </c>
      <c r="N19" s="9" t="s">
        <v>62</v>
      </c>
      <c r="O19" s="10" t="s">
        <v>182</v>
      </c>
      <c r="P19" s="10" t="s">
        <v>183</v>
      </c>
      <c r="Q19" s="9">
        <v>2</v>
      </c>
      <c r="R19" s="10"/>
      <c r="S19" s="10"/>
      <c r="T19" s="9"/>
      <c r="U19" s="9" t="s">
        <v>184</v>
      </c>
    </row>
    <row r="20" spans="1:21" ht="66" x14ac:dyDescent="0.3">
      <c r="A20" s="7" t="s">
        <v>185</v>
      </c>
      <c r="B20" s="8">
        <v>7</v>
      </c>
      <c r="C20" s="9" t="s">
        <v>54</v>
      </c>
      <c r="D20" s="9" t="s">
        <v>175</v>
      </c>
      <c r="E20" s="9" t="s">
        <v>176</v>
      </c>
      <c r="F20" s="9" t="s">
        <v>177</v>
      </c>
      <c r="G20" s="9" t="s">
        <v>186</v>
      </c>
      <c r="H20" s="9">
        <v>19</v>
      </c>
      <c r="I20" s="10" t="s">
        <v>187</v>
      </c>
      <c r="J20" s="10" t="s">
        <v>60</v>
      </c>
      <c r="K20" s="9">
        <v>0</v>
      </c>
      <c r="L20" s="10" t="s">
        <v>188</v>
      </c>
      <c r="M20" s="9">
        <v>3</v>
      </c>
      <c r="N20" s="9" t="s">
        <v>62</v>
      </c>
      <c r="O20" s="10" t="s">
        <v>189</v>
      </c>
      <c r="P20" s="10" t="s">
        <v>190</v>
      </c>
      <c r="Q20" s="9">
        <v>2</v>
      </c>
      <c r="R20" s="10"/>
      <c r="S20" s="10"/>
      <c r="T20" s="9"/>
      <c r="U20" s="9" t="s">
        <v>191</v>
      </c>
    </row>
    <row r="21" spans="1:21" ht="39.6" x14ac:dyDescent="0.3">
      <c r="A21" s="7" t="s">
        <v>192</v>
      </c>
      <c r="B21" s="8">
        <v>7</v>
      </c>
      <c r="C21" s="9" t="s">
        <v>54</v>
      </c>
      <c r="D21" s="9" t="s">
        <v>175</v>
      </c>
      <c r="E21" s="9" t="s">
        <v>176</v>
      </c>
      <c r="F21" s="9" t="s">
        <v>177</v>
      </c>
      <c r="G21" s="9" t="s">
        <v>193</v>
      </c>
      <c r="H21" s="9">
        <v>20</v>
      </c>
      <c r="I21" s="10" t="s">
        <v>194</v>
      </c>
      <c r="J21" s="10" t="s">
        <v>60</v>
      </c>
      <c r="K21" s="9">
        <v>0</v>
      </c>
      <c r="L21" s="10" t="s">
        <v>195</v>
      </c>
      <c r="M21" s="9">
        <v>1</v>
      </c>
      <c r="N21" s="9" t="s">
        <v>126</v>
      </c>
      <c r="O21" s="10" t="s">
        <v>196</v>
      </c>
      <c r="P21" s="10" t="s">
        <v>197</v>
      </c>
      <c r="Q21" s="9">
        <v>1</v>
      </c>
      <c r="R21" s="10"/>
      <c r="S21" s="10"/>
      <c r="T21" s="9"/>
      <c r="U21" s="9"/>
    </row>
    <row r="22" spans="1:21" ht="66" x14ac:dyDescent="0.3">
      <c r="A22" s="7" t="s">
        <v>198</v>
      </c>
      <c r="B22" s="8">
        <v>7</v>
      </c>
      <c r="C22" s="9" t="s">
        <v>54</v>
      </c>
      <c r="D22" s="9" t="s">
        <v>175</v>
      </c>
      <c r="E22" s="9" t="s">
        <v>176</v>
      </c>
      <c r="F22" s="9" t="s">
        <v>177</v>
      </c>
      <c r="G22" s="9" t="s">
        <v>199</v>
      </c>
      <c r="H22" s="9">
        <v>21</v>
      </c>
      <c r="I22" s="10" t="s">
        <v>200</v>
      </c>
      <c r="J22" s="10" t="s">
        <v>60</v>
      </c>
      <c r="K22" s="9">
        <v>0</v>
      </c>
      <c r="L22" s="10" t="s">
        <v>201</v>
      </c>
      <c r="M22" s="9">
        <v>2</v>
      </c>
      <c r="N22" s="9" t="s">
        <v>101</v>
      </c>
      <c r="O22" s="10" t="s">
        <v>202</v>
      </c>
      <c r="P22" s="10" t="s">
        <v>203</v>
      </c>
      <c r="Q22" s="9">
        <v>1</v>
      </c>
      <c r="R22" s="10"/>
      <c r="S22" s="10"/>
      <c r="T22" s="9"/>
      <c r="U22" s="9"/>
    </row>
    <row r="23" spans="1:21" ht="66" x14ac:dyDescent="0.3">
      <c r="A23" s="7" t="s">
        <v>204</v>
      </c>
      <c r="B23" s="8">
        <v>7</v>
      </c>
      <c r="C23" s="9" t="s">
        <v>54</v>
      </c>
      <c r="D23" s="9" t="s">
        <v>175</v>
      </c>
      <c r="E23" s="9" t="s">
        <v>176</v>
      </c>
      <c r="F23" s="9" t="s">
        <v>177</v>
      </c>
      <c r="G23" s="9" t="s">
        <v>205</v>
      </c>
      <c r="H23" s="9">
        <v>22</v>
      </c>
      <c r="I23" s="10" t="s">
        <v>206</v>
      </c>
      <c r="J23" s="10" t="s">
        <v>60</v>
      </c>
      <c r="K23" s="9">
        <v>0</v>
      </c>
      <c r="L23" s="10" t="s">
        <v>207</v>
      </c>
      <c r="M23" s="9">
        <v>2</v>
      </c>
      <c r="N23" s="9" t="s">
        <v>126</v>
      </c>
      <c r="O23" s="10" t="s">
        <v>208</v>
      </c>
      <c r="P23" s="10" t="s">
        <v>60</v>
      </c>
      <c r="Q23" s="9">
        <v>0</v>
      </c>
      <c r="R23" s="10" t="s">
        <v>209</v>
      </c>
      <c r="S23" s="10"/>
      <c r="T23" s="9"/>
      <c r="U23" s="9"/>
    </row>
    <row r="24" spans="1:21" ht="66" x14ac:dyDescent="0.3">
      <c r="A24" s="7" t="s">
        <v>210</v>
      </c>
      <c r="B24" s="8">
        <v>7</v>
      </c>
      <c r="C24" s="9" t="s">
        <v>54</v>
      </c>
      <c r="D24" s="9" t="s">
        <v>175</v>
      </c>
      <c r="E24" s="9" t="s">
        <v>176</v>
      </c>
      <c r="F24" s="9" t="s">
        <v>211</v>
      </c>
      <c r="G24" s="9" t="s">
        <v>212</v>
      </c>
      <c r="H24" s="9">
        <v>23</v>
      </c>
      <c r="I24" s="10" t="s">
        <v>213</v>
      </c>
      <c r="J24" s="10" t="s">
        <v>214</v>
      </c>
      <c r="K24" s="9">
        <v>4</v>
      </c>
      <c r="L24" s="10" t="s">
        <v>215</v>
      </c>
      <c r="M24" s="9">
        <v>4</v>
      </c>
      <c r="N24" s="9" t="s">
        <v>62</v>
      </c>
      <c r="O24" s="10" t="s">
        <v>216</v>
      </c>
      <c r="P24" s="10" t="s">
        <v>217</v>
      </c>
      <c r="Q24" s="9">
        <v>2</v>
      </c>
      <c r="R24" s="10"/>
      <c r="S24" s="10"/>
      <c r="T24" s="9"/>
      <c r="U24" s="9"/>
    </row>
    <row r="25" spans="1:21" ht="52.8" x14ac:dyDescent="0.3">
      <c r="A25" s="7" t="s">
        <v>218</v>
      </c>
      <c r="B25" s="8">
        <v>7</v>
      </c>
      <c r="C25" s="9" t="s">
        <v>54</v>
      </c>
      <c r="D25" s="9" t="s">
        <v>175</v>
      </c>
      <c r="E25" s="9" t="s">
        <v>176</v>
      </c>
      <c r="F25" s="9" t="s">
        <v>211</v>
      </c>
      <c r="G25" s="9" t="s">
        <v>219</v>
      </c>
      <c r="H25" s="9">
        <v>24</v>
      </c>
      <c r="I25" s="10" t="s">
        <v>220</v>
      </c>
      <c r="J25" s="10" t="s">
        <v>60</v>
      </c>
      <c r="K25" s="9">
        <v>0</v>
      </c>
      <c r="L25" s="10" t="s">
        <v>221</v>
      </c>
      <c r="M25" s="9">
        <v>2</v>
      </c>
      <c r="N25" s="9" t="s">
        <v>87</v>
      </c>
      <c r="O25" s="10" t="s">
        <v>222</v>
      </c>
      <c r="P25" s="10" t="s">
        <v>223</v>
      </c>
      <c r="Q25" s="9">
        <v>1</v>
      </c>
      <c r="R25" s="10"/>
      <c r="S25" s="10"/>
      <c r="T25" s="9"/>
      <c r="U25" s="9"/>
    </row>
    <row r="26" spans="1:21" ht="66" x14ac:dyDescent="0.3">
      <c r="A26" s="7" t="s">
        <v>224</v>
      </c>
      <c r="B26" s="8">
        <v>7</v>
      </c>
      <c r="C26" s="9" t="s">
        <v>54</v>
      </c>
      <c r="D26" s="9" t="s">
        <v>175</v>
      </c>
      <c r="E26" s="9" t="s">
        <v>176</v>
      </c>
      <c r="F26" s="9" t="s">
        <v>211</v>
      </c>
      <c r="G26" s="9" t="s">
        <v>225</v>
      </c>
      <c r="H26" s="9">
        <v>25</v>
      </c>
      <c r="I26" s="10" t="s">
        <v>226</v>
      </c>
      <c r="J26" s="10" t="s">
        <v>60</v>
      </c>
      <c r="K26" s="9">
        <v>0</v>
      </c>
      <c r="L26" s="10" t="s">
        <v>227</v>
      </c>
      <c r="M26" s="9">
        <v>3</v>
      </c>
      <c r="N26" s="9" t="s">
        <v>62</v>
      </c>
      <c r="O26" s="10" t="s">
        <v>228</v>
      </c>
      <c r="P26" s="10" t="s">
        <v>229</v>
      </c>
      <c r="Q26" s="9">
        <v>1</v>
      </c>
      <c r="R26" s="10"/>
      <c r="S26" s="10"/>
      <c r="T26" s="9"/>
      <c r="U26" s="9"/>
    </row>
    <row r="27" spans="1:21" ht="66" x14ac:dyDescent="0.3">
      <c r="A27" s="7" t="s">
        <v>230</v>
      </c>
      <c r="B27" s="8">
        <v>7</v>
      </c>
      <c r="C27" s="9" t="s">
        <v>54</v>
      </c>
      <c r="D27" s="9" t="s">
        <v>175</v>
      </c>
      <c r="E27" s="9" t="s">
        <v>176</v>
      </c>
      <c r="F27" s="9" t="s">
        <v>211</v>
      </c>
      <c r="G27" s="9" t="s">
        <v>231</v>
      </c>
      <c r="H27" s="9">
        <v>26</v>
      </c>
      <c r="I27" s="10" t="s">
        <v>232</v>
      </c>
      <c r="J27" s="10" t="s">
        <v>233</v>
      </c>
      <c r="K27" s="9">
        <v>2</v>
      </c>
      <c r="L27" s="10" t="s">
        <v>234</v>
      </c>
      <c r="M27" s="9">
        <v>3</v>
      </c>
      <c r="N27" s="9" t="s">
        <v>62</v>
      </c>
      <c r="O27" s="10" t="s">
        <v>235</v>
      </c>
      <c r="P27" s="10" t="s">
        <v>236</v>
      </c>
      <c r="Q27" s="9">
        <v>2</v>
      </c>
      <c r="R27" s="10"/>
      <c r="S27" s="10"/>
      <c r="T27" s="9"/>
      <c r="U27" s="9"/>
    </row>
    <row r="28" spans="1:21" ht="66" x14ac:dyDescent="0.3">
      <c r="A28" s="7" t="s">
        <v>237</v>
      </c>
      <c r="B28" s="8">
        <v>7</v>
      </c>
      <c r="C28" s="9" t="s">
        <v>238</v>
      </c>
      <c r="D28" s="9" t="s">
        <v>239</v>
      </c>
      <c r="E28" s="9" t="s">
        <v>176</v>
      </c>
      <c r="F28" s="9" t="s">
        <v>240</v>
      </c>
      <c r="G28" s="9" t="s">
        <v>241</v>
      </c>
      <c r="H28" s="9">
        <v>27</v>
      </c>
      <c r="I28" s="10" t="s">
        <v>242</v>
      </c>
      <c r="J28" s="10" t="s">
        <v>243</v>
      </c>
      <c r="K28" s="9">
        <v>3</v>
      </c>
      <c r="L28" s="10" t="s">
        <v>244</v>
      </c>
      <c r="M28" s="9">
        <v>3</v>
      </c>
      <c r="N28" s="9" t="s">
        <v>62</v>
      </c>
      <c r="O28" s="10" t="s">
        <v>245</v>
      </c>
      <c r="P28" s="10" t="s">
        <v>246</v>
      </c>
      <c r="Q28" s="9">
        <v>1</v>
      </c>
      <c r="R28" s="10"/>
      <c r="S28" s="10"/>
      <c r="T28" s="9"/>
      <c r="U28" s="9"/>
    </row>
    <row r="29" spans="1:21" ht="26.4" x14ac:dyDescent="0.3">
      <c r="A29" s="7" t="s">
        <v>247</v>
      </c>
      <c r="B29" s="8">
        <v>7</v>
      </c>
      <c r="C29" s="9" t="s">
        <v>238</v>
      </c>
      <c r="D29" s="9" t="s">
        <v>239</v>
      </c>
      <c r="E29" s="9" t="s">
        <v>176</v>
      </c>
      <c r="F29" s="9" t="s">
        <v>240</v>
      </c>
      <c r="G29" s="9" t="s">
        <v>248</v>
      </c>
      <c r="H29" s="9">
        <v>28</v>
      </c>
      <c r="I29" s="10" t="s">
        <v>249</v>
      </c>
      <c r="J29" s="10" t="s">
        <v>60</v>
      </c>
      <c r="K29" s="9">
        <v>0</v>
      </c>
      <c r="L29" s="10" t="s">
        <v>60</v>
      </c>
      <c r="M29" s="9">
        <v>0</v>
      </c>
      <c r="N29" s="9" t="s">
        <v>76</v>
      </c>
      <c r="O29" s="10" t="s">
        <v>250</v>
      </c>
      <c r="P29" s="10" t="s">
        <v>60</v>
      </c>
      <c r="Q29" s="9">
        <v>0</v>
      </c>
      <c r="R29" s="10"/>
      <c r="S29" s="10"/>
      <c r="T29" s="9"/>
      <c r="U29" s="9"/>
    </row>
    <row r="30" spans="1:21" ht="39.6" x14ac:dyDescent="0.3">
      <c r="A30" s="7" t="s">
        <v>251</v>
      </c>
      <c r="B30" s="8">
        <v>7</v>
      </c>
      <c r="C30" s="9" t="s">
        <v>238</v>
      </c>
      <c r="D30" s="9" t="s">
        <v>239</v>
      </c>
      <c r="E30" s="9" t="s">
        <v>176</v>
      </c>
      <c r="F30" s="9" t="s">
        <v>240</v>
      </c>
      <c r="G30" s="9" t="s">
        <v>252</v>
      </c>
      <c r="H30" s="9">
        <v>29</v>
      </c>
      <c r="I30" s="10" t="s">
        <v>253</v>
      </c>
      <c r="J30" s="10" t="s">
        <v>60</v>
      </c>
      <c r="K30" s="9">
        <v>0</v>
      </c>
      <c r="L30" s="10" t="s">
        <v>60</v>
      </c>
      <c r="M30" s="9">
        <v>0</v>
      </c>
      <c r="N30" s="9" t="s">
        <v>87</v>
      </c>
      <c r="O30" s="10" t="s">
        <v>87</v>
      </c>
      <c r="P30" s="10" t="s">
        <v>60</v>
      </c>
      <c r="Q30" s="9">
        <v>0</v>
      </c>
      <c r="R30" s="10"/>
      <c r="S30" s="10"/>
      <c r="T30" s="9"/>
      <c r="U30" s="9"/>
    </row>
    <row r="31" spans="1:21" ht="39.6" x14ac:dyDescent="0.3">
      <c r="A31" s="7" t="s">
        <v>254</v>
      </c>
      <c r="B31" s="8">
        <v>7</v>
      </c>
      <c r="C31" s="9" t="s">
        <v>238</v>
      </c>
      <c r="D31" s="9" t="s">
        <v>239</v>
      </c>
      <c r="E31" s="9" t="s">
        <v>176</v>
      </c>
      <c r="F31" s="9" t="s">
        <v>240</v>
      </c>
      <c r="G31" s="9" t="s">
        <v>255</v>
      </c>
      <c r="H31" s="9">
        <v>30</v>
      </c>
      <c r="I31" s="10" t="s">
        <v>256</v>
      </c>
      <c r="J31" s="10" t="s">
        <v>60</v>
      </c>
      <c r="K31" s="9">
        <v>0</v>
      </c>
      <c r="L31" s="10" t="s">
        <v>257</v>
      </c>
      <c r="M31" s="9">
        <v>2</v>
      </c>
      <c r="N31" s="9" t="s">
        <v>62</v>
      </c>
      <c r="O31" s="10" t="s">
        <v>258</v>
      </c>
      <c r="P31" s="10" t="s">
        <v>60</v>
      </c>
      <c r="Q31" s="9">
        <v>0</v>
      </c>
      <c r="R31" s="10"/>
      <c r="S31" s="10"/>
      <c r="T31" s="9"/>
      <c r="U31" s="9"/>
    </row>
    <row r="32" spans="1:21" ht="39.6" x14ac:dyDescent="0.3">
      <c r="A32" s="7" t="s">
        <v>259</v>
      </c>
      <c r="B32" s="8">
        <v>7</v>
      </c>
      <c r="C32" s="9" t="s">
        <v>238</v>
      </c>
      <c r="D32" s="9" t="s">
        <v>239</v>
      </c>
      <c r="E32" s="9" t="s">
        <v>176</v>
      </c>
      <c r="F32" s="9" t="s">
        <v>240</v>
      </c>
      <c r="G32" s="9" t="s">
        <v>260</v>
      </c>
      <c r="H32" s="9">
        <v>31</v>
      </c>
      <c r="I32" s="10" t="s">
        <v>261</v>
      </c>
      <c r="J32" s="10" t="s">
        <v>262</v>
      </c>
      <c r="K32" s="9">
        <v>3</v>
      </c>
      <c r="L32" s="10" t="s">
        <v>263</v>
      </c>
      <c r="M32" s="9">
        <v>3</v>
      </c>
      <c r="N32" s="9" t="s">
        <v>62</v>
      </c>
      <c r="O32" s="10" t="s">
        <v>264</v>
      </c>
      <c r="P32" s="10" t="s">
        <v>265</v>
      </c>
      <c r="Q32" s="9">
        <v>1</v>
      </c>
      <c r="R32" s="10"/>
      <c r="S32" s="10"/>
      <c r="T32" s="9"/>
      <c r="U32" s="9"/>
    </row>
    <row r="33" spans="1:21" ht="39.6" x14ac:dyDescent="0.3">
      <c r="A33" s="7" t="s">
        <v>266</v>
      </c>
      <c r="B33" s="8">
        <v>7</v>
      </c>
      <c r="C33" s="9" t="s">
        <v>238</v>
      </c>
      <c r="D33" s="9" t="s">
        <v>239</v>
      </c>
      <c r="E33" s="9" t="s">
        <v>176</v>
      </c>
      <c r="F33" s="9" t="s">
        <v>240</v>
      </c>
      <c r="G33" s="9" t="s">
        <v>267</v>
      </c>
      <c r="H33" s="9">
        <v>32</v>
      </c>
      <c r="I33" s="10" t="s">
        <v>268</v>
      </c>
      <c r="J33" s="10" t="s">
        <v>269</v>
      </c>
      <c r="K33" s="9">
        <v>2</v>
      </c>
      <c r="L33" s="10" t="s">
        <v>270</v>
      </c>
      <c r="M33" s="9">
        <v>1</v>
      </c>
      <c r="N33" s="9" t="s">
        <v>62</v>
      </c>
      <c r="O33" s="10" t="s">
        <v>271</v>
      </c>
      <c r="P33" s="10" t="s">
        <v>272</v>
      </c>
      <c r="Q33" s="9">
        <v>1</v>
      </c>
      <c r="R33" s="10"/>
      <c r="S33" s="10"/>
      <c r="T33" s="9"/>
      <c r="U33" s="9"/>
    </row>
    <row r="34" spans="1:21" ht="52.8" x14ac:dyDescent="0.3">
      <c r="A34" s="7" t="s">
        <v>273</v>
      </c>
      <c r="B34" s="8">
        <v>7</v>
      </c>
      <c r="C34" s="9" t="s">
        <v>238</v>
      </c>
      <c r="D34" s="9" t="s">
        <v>239</v>
      </c>
      <c r="E34" s="9" t="s">
        <v>176</v>
      </c>
      <c r="F34" s="9" t="s">
        <v>240</v>
      </c>
      <c r="G34" s="9" t="s">
        <v>274</v>
      </c>
      <c r="H34" s="9">
        <v>33</v>
      </c>
      <c r="I34" s="10" t="s">
        <v>275</v>
      </c>
      <c r="J34" s="10" t="s">
        <v>276</v>
      </c>
      <c r="K34" s="9">
        <v>2</v>
      </c>
      <c r="L34" s="10" t="s">
        <v>277</v>
      </c>
      <c r="M34" s="9">
        <v>3</v>
      </c>
      <c r="N34" s="9" t="s">
        <v>62</v>
      </c>
      <c r="O34" s="10" t="s">
        <v>278</v>
      </c>
      <c r="P34" s="10" t="s">
        <v>279</v>
      </c>
      <c r="Q34" s="9">
        <v>1</v>
      </c>
      <c r="R34" s="10"/>
      <c r="S34" s="10"/>
      <c r="T34" s="9"/>
      <c r="U34" s="9"/>
    </row>
    <row r="35" spans="1:21" ht="66" x14ac:dyDescent="0.3">
      <c r="A35" s="7" t="s">
        <v>280</v>
      </c>
      <c r="B35" s="8">
        <v>7</v>
      </c>
      <c r="C35" s="9" t="s">
        <v>238</v>
      </c>
      <c r="D35" s="9" t="s">
        <v>239</v>
      </c>
      <c r="E35" s="9" t="s">
        <v>176</v>
      </c>
      <c r="F35" s="9" t="s">
        <v>281</v>
      </c>
      <c r="G35" s="9" t="s">
        <v>282</v>
      </c>
      <c r="H35" s="9">
        <v>34</v>
      </c>
      <c r="I35" s="10" t="s">
        <v>283</v>
      </c>
      <c r="J35" s="10" t="s">
        <v>284</v>
      </c>
      <c r="K35" s="9">
        <v>1</v>
      </c>
      <c r="L35" s="10" t="s">
        <v>285</v>
      </c>
      <c r="M35" s="9">
        <v>4</v>
      </c>
      <c r="N35" s="9" t="s">
        <v>76</v>
      </c>
      <c r="O35" s="10" t="s">
        <v>286</v>
      </c>
      <c r="P35" s="10" t="s">
        <v>60</v>
      </c>
      <c r="Q35" s="9">
        <v>0</v>
      </c>
      <c r="R35" s="10"/>
      <c r="S35" s="10"/>
      <c r="T35" s="9"/>
      <c r="U35" s="9"/>
    </row>
    <row r="36" spans="1:21" ht="79.2" x14ac:dyDescent="0.3">
      <c r="A36" s="7" t="s">
        <v>287</v>
      </c>
      <c r="B36" s="8">
        <v>7</v>
      </c>
      <c r="C36" s="9" t="s">
        <v>238</v>
      </c>
      <c r="D36" s="9" t="s">
        <v>239</v>
      </c>
      <c r="E36" s="9" t="s">
        <v>176</v>
      </c>
      <c r="F36" s="9" t="s">
        <v>281</v>
      </c>
      <c r="G36" s="9" t="s">
        <v>288</v>
      </c>
      <c r="H36" s="9">
        <v>35</v>
      </c>
      <c r="I36" s="10" t="s">
        <v>289</v>
      </c>
      <c r="J36" s="10" t="s">
        <v>290</v>
      </c>
      <c r="K36" s="9">
        <v>1</v>
      </c>
      <c r="L36" s="10" t="s">
        <v>291</v>
      </c>
      <c r="M36" s="9">
        <v>2</v>
      </c>
      <c r="N36" s="9" t="s">
        <v>126</v>
      </c>
      <c r="O36" s="10" t="s">
        <v>292</v>
      </c>
      <c r="P36" s="10" t="s">
        <v>293</v>
      </c>
      <c r="Q36" s="9">
        <v>1</v>
      </c>
      <c r="R36" s="10"/>
      <c r="S36" s="10"/>
      <c r="T36" s="9"/>
      <c r="U36" s="9"/>
    </row>
    <row r="37" spans="1:21" ht="92.4" x14ac:dyDescent="0.3">
      <c r="A37" s="7" t="s">
        <v>294</v>
      </c>
      <c r="B37" s="8">
        <v>7</v>
      </c>
      <c r="C37" s="9" t="s">
        <v>238</v>
      </c>
      <c r="D37" s="9" t="s">
        <v>239</v>
      </c>
      <c r="E37" s="9" t="s">
        <v>176</v>
      </c>
      <c r="F37" s="9" t="s">
        <v>281</v>
      </c>
      <c r="G37" s="9" t="s">
        <v>295</v>
      </c>
      <c r="H37" s="9">
        <v>36</v>
      </c>
      <c r="I37" s="10" t="s">
        <v>296</v>
      </c>
      <c r="J37" s="10" t="s">
        <v>297</v>
      </c>
      <c r="K37" s="9">
        <v>3</v>
      </c>
      <c r="L37" s="10" t="s">
        <v>298</v>
      </c>
      <c r="M37" s="9">
        <v>4</v>
      </c>
      <c r="N37" s="9" t="s">
        <v>62</v>
      </c>
      <c r="O37" s="10" t="s">
        <v>299</v>
      </c>
      <c r="P37" s="10" t="s">
        <v>300</v>
      </c>
      <c r="Q37" s="9">
        <v>2</v>
      </c>
      <c r="R37" s="10"/>
      <c r="S37" s="10"/>
      <c r="T37" s="9"/>
      <c r="U37" s="9" t="s">
        <v>301</v>
      </c>
    </row>
    <row r="38" spans="1:21" ht="52.8" x14ac:dyDescent="0.3">
      <c r="A38" s="7" t="s">
        <v>302</v>
      </c>
      <c r="B38" s="8">
        <v>7</v>
      </c>
      <c r="C38" s="9" t="s">
        <v>238</v>
      </c>
      <c r="D38" s="9" t="s">
        <v>239</v>
      </c>
      <c r="E38" s="9" t="s">
        <v>176</v>
      </c>
      <c r="F38" s="9" t="s">
        <v>281</v>
      </c>
      <c r="G38" s="9" t="s">
        <v>303</v>
      </c>
      <c r="H38" s="9">
        <v>37</v>
      </c>
      <c r="I38" s="10" t="s">
        <v>304</v>
      </c>
      <c r="J38" s="10" t="s">
        <v>305</v>
      </c>
      <c r="K38" s="9">
        <v>3</v>
      </c>
      <c r="L38" s="10" t="s">
        <v>306</v>
      </c>
      <c r="M38" s="9">
        <v>3</v>
      </c>
      <c r="N38" s="9" t="s">
        <v>62</v>
      </c>
      <c r="O38" s="10" t="s">
        <v>307</v>
      </c>
      <c r="P38" s="10" t="s">
        <v>60</v>
      </c>
      <c r="Q38" s="9">
        <v>0</v>
      </c>
      <c r="R38" s="10"/>
      <c r="S38" s="10"/>
      <c r="T38" s="9"/>
      <c r="U38" s="9" t="s">
        <v>308</v>
      </c>
    </row>
    <row r="39" spans="1:21" ht="52.8" x14ac:dyDescent="0.3">
      <c r="A39" s="7" t="s">
        <v>309</v>
      </c>
      <c r="B39" s="8">
        <v>7</v>
      </c>
      <c r="C39" s="9" t="s">
        <v>238</v>
      </c>
      <c r="D39" s="9" t="s">
        <v>239</v>
      </c>
      <c r="E39" s="9" t="s">
        <v>176</v>
      </c>
      <c r="F39" s="9" t="s">
        <v>281</v>
      </c>
      <c r="G39" s="9" t="s">
        <v>310</v>
      </c>
      <c r="H39" s="9">
        <v>38</v>
      </c>
      <c r="I39" s="10" t="s">
        <v>311</v>
      </c>
      <c r="J39" s="10" t="s">
        <v>312</v>
      </c>
      <c r="K39" s="9">
        <v>4</v>
      </c>
      <c r="L39" s="10" t="s">
        <v>313</v>
      </c>
      <c r="M39" s="9">
        <v>4</v>
      </c>
      <c r="N39" s="9" t="s">
        <v>62</v>
      </c>
      <c r="O39" s="10" t="s">
        <v>314</v>
      </c>
      <c r="P39" s="10" t="s">
        <v>315</v>
      </c>
      <c r="Q39" s="9">
        <v>2</v>
      </c>
      <c r="R39" s="10"/>
      <c r="S39" s="10"/>
      <c r="T39" s="9"/>
      <c r="U39" s="9" t="s">
        <v>316</v>
      </c>
    </row>
    <row r="40" spans="1:21" ht="52.8" x14ac:dyDescent="0.3">
      <c r="A40" s="7" t="s">
        <v>317</v>
      </c>
      <c r="B40" s="8">
        <v>7</v>
      </c>
      <c r="C40" s="9" t="s">
        <v>238</v>
      </c>
      <c r="D40" s="9" t="s">
        <v>318</v>
      </c>
      <c r="E40" s="9" t="s">
        <v>319</v>
      </c>
      <c r="F40" s="9" t="s">
        <v>320</v>
      </c>
      <c r="G40" s="9" t="s">
        <v>321</v>
      </c>
      <c r="H40" s="9">
        <v>39</v>
      </c>
      <c r="I40" s="10" t="s">
        <v>322</v>
      </c>
      <c r="J40" s="10" t="s">
        <v>323</v>
      </c>
      <c r="K40" s="9">
        <v>2</v>
      </c>
      <c r="L40" s="10" t="s">
        <v>324</v>
      </c>
      <c r="M40" s="9">
        <v>2</v>
      </c>
      <c r="N40" s="9" t="s">
        <v>62</v>
      </c>
      <c r="O40" s="10" t="s">
        <v>325</v>
      </c>
      <c r="P40" s="10" t="s">
        <v>326</v>
      </c>
      <c r="Q40" s="9">
        <v>2</v>
      </c>
      <c r="R40" s="10"/>
      <c r="S40" s="10"/>
      <c r="T40" s="9"/>
      <c r="U40" s="9"/>
    </row>
    <row r="41" spans="1:21" ht="66" x14ac:dyDescent="0.3">
      <c r="A41" s="7" t="s">
        <v>327</v>
      </c>
      <c r="B41" s="8">
        <v>7</v>
      </c>
      <c r="C41" s="9" t="s">
        <v>238</v>
      </c>
      <c r="D41" s="9" t="s">
        <v>318</v>
      </c>
      <c r="E41" s="9" t="s">
        <v>319</v>
      </c>
      <c r="F41" s="9" t="s">
        <v>320</v>
      </c>
      <c r="G41" s="9" t="s">
        <v>328</v>
      </c>
      <c r="H41" s="9">
        <v>40</v>
      </c>
      <c r="I41" s="10" t="s">
        <v>329</v>
      </c>
      <c r="J41" s="10" t="s">
        <v>330</v>
      </c>
      <c r="K41" s="9">
        <v>4</v>
      </c>
      <c r="L41" s="10" t="s">
        <v>331</v>
      </c>
      <c r="M41" s="9">
        <v>4</v>
      </c>
      <c r="N41" s="9" t="s">
        <v>62</v>
      </c>
      <c r="O41" s="10" t="s">
        <v>332</v>
      </c>
      <c r="P41" s="10" t="s">
        <v>333</v>
      </c>
      <c r="Q41" s="9">
        <v>3</v>
      </c>
      <c r="R41" s="10"/>
      <c r="S41" s="10"/>
      <c r="T41" s="9"/>
      <c r="U41" s="9" t="s">
        <v>334</v>
      </c>
    </row>
    <row r="42" spans="1:21" ht="52.8" x14ac:dyDescent="0.3">
      <c r="A42" s="7" t="s">
        <v>335</v>
      </c>
      <c r="B42" s="8">
        <v>7</v>
      </c>
      <c r="C42" s="9" t="s">
        <v>238</v>
      </c>
      <c r="D42" s="9" t="s">
        <v>318</v>
      </c>
      <c r="E42" s="9" t="s">
        <v>319</v>
      </c>
      <c r="F42" s="9" t="s">
        <v>320</v>
      </c>
      <c r="G42" s="9" t="s">
        <v>336</v>
      </c>
      <c r="H42" s="9">
        <v>41</v>
      </c>
      <c r="I42" s="10" t="s">
        <v>337</v>
      </c>
      <c r="J42" s="10" t="s">
        <v>60</v>
      </c>
      <c r="K42" s="9">
        <v>0</v>
      </c>
      <c r="L42" s="10" t="s">
        <v>338</v>
      </c>
      <c r="M42" s="9">
        <v>2</v>
      </c>
      <c r="N42" s="9" t="s">
        <v>62</v>
      </c>
      <c r="O42" s="10" t="s">
        <v>339</v>
      </c>
      <c r="P42" s="10" t="s">
        <v>60</v>
      </c>
      <c r="Q42" s="9">
        <v>0</v>
      </c>
      <c r="R42" s="10" t="s">
        <v>340</v>
      </c>
      <c r="S42" s="10"/>
      <c r="T42" s="9"/>
      <c r="U42" s="9"/>
    </row>
    <row r="43" spans="1:21" ht="66" x14ac:dyDescent="0.3">
      <c r="A43" s="7" t="s">
        <v>341</v>
      </c>
      <c r="B43" s="8">
        <v>7</v>
      </c>
      <c r="C43" s="9" t="s">
        <v>238</v>
      </c>
      <c r="D43" s="9" t="s">
        <v>318</v>
      </c>
      <c r="E43" s="9" t="s">
        <v>319</v>
      </c>
      <c r="F43" s="9" t="s">
        <v>342</v>
      </c>
      <c r="G43" s="9" t="s">
        <v>343</v>
      </c>
      <c r="H43" s="9">
        <v>42</v>
      </c>
      <c r="I43" s="10" t="s">
        <v>344</v>
      </c>
      <c r="J43" s="10" t="s">
        <v>345</v>
      </c>
      <c r="K43" s="9">
        <v>4</v>
      </c>
      <c r="L43" s="10" t="s">
        <v>346</v>
      </c>
      <c r="M43" s="9">
        <v>5</v>
      </c>
      <c r="N43" s="9" t="s">
        <v>62</v>
      </c>
      <c r="O43" s="10" t="s">
        <v>347</v>
      </c>
      <c r="P43" s="10" t="s">
        <v>348</v>
      </c>
      <c r="Q43" s="9">
        <v>2</v>
      </c>
      <c r="R43" s="10"/>
      <c r="S43" s="10" t="s">
        <v>349</v>
      </c>
      <c r="T43" s="9"/>
      <c r="U43" s="9" t="s">
        <v>350</v>
      </c>
    </row>
    <row r="44" spans="1:21" ht="66" x14ac:dyDescent="0.3">
      <c r="A44" s="7" t="s">
        <v>351</v>
      </c>
      <c r="B44" s="8">
        <v>7</v>
      </c>
      <c r="C44" s="9" t="s">
        <v>238</v>
      </c>
      <c r="D44" s="9" t="s">
        <v>318</v>
      </c>
      <c r="E44" s="9" t="s">
        <v>319</v>
      </c>
      <c r="F44" s="9" t="s">
        <v>342</v>
      </c>
      <c r="G44" s="9" t="s">
        <v>352</v>
      </c>
      <c r="H44" s="9">
        <v>43</v>
      </c>
      <c r="I44" s="10" t="s">
        <v>353</v>
      </c>
      <c r="J44" s="10" t="s">
        <v>354</v>
      </c>
      <c r="K44" s="9">
        <v>5</v>
      </c>
      <c r="L44" s="10" t="s">
        <v>355</v>
      </c>
      <c r="M44" s="9">
        <v>4</v>
      </c>
      <c r="N44" s="9" t="s">
        <v>62</v>
      </c>
      <c r="O44" s="10" t="s">
        <v>356</v>
      </c>
      <c r="P44" s="10" t="s">
        <v>357</v>
      </c>
      <c r="Q44" s="9">
        <v>2</v>
      </c>
      <c r="R44" s="10" t="s">
        <v>358</v>
      </c>
      <c r="S44" s="10"/>
      <c r="T44" s="9"/>
      <c r="U44" s="9" t="s">
        <v>359</v>
      </c>
    </row>
    <row r="45" spans="1:21" ht="79.2" x14ac:dyDescent="0.3">
      <c r="A45" s="7" t="s">
        <v>360</v>
      </c>
      <c r="B45" s="8">
        <v>7</v>
      </c>
      <c r="C45" s="9" t="s">
        <v>238</v>
      </c>
      <c r="D45" s="9" t="s">
        <v>318</v>
      </c>
      <c r="E45" s="9" t="s">
        <v>319</v>
      </c>
      <c r="F45" s="9" t="s">
        <v>361</v>
      </c>
      <c r="G45" s="9" t="s">
        <v>362</v>
      </c>
      <c r="H45" s="9">
        <v>44</v>
      </c>
      <c r="I45" s="10" t="s">
        <v>363</v>
      </c>
      <c r="J45" s="10" t="s">
        <v>364</v>
      </c>
      <c r="K45" s="9">
        <v>2</v>
      </c>
      <c r="L45" s="10" t="s">
        <v>365</v>
      </c>
      <c r="M45" s="9">
        <v>3</v>
      </c>
      <c r="N45" s="9" t="s">
        <v>62</v>
      </c>
      <c r="O45" s="10" t="s">
        <v>366</v>
      </c>
      <c r="P45" s="10" t="s">
        <v>367</v>
      </c>
      <c r="Q45" s="9">
        <v>1</v>
      </c>
      <c r="R45" s="10"/>
      <c r="S45" s="10"/>
      <c r="T45" s="9"/>
      <c r="U45" s="9" t="s">
        <v>368</v>
      </c>
    </row>
    <row r="46" spans="1:21" ht="52.8" x14ac:dyDescent="0.3">
      <c r="A46" s="7" t="s">
        <v>369</v>
      </c>
      <c r="B46" s="8">
        <v>7</v>
      </c>
      <c r="C46" s="9" t="s">
        <v>238</v>
      </c>
      <c r="D46" s="9" t="s">
        <v>318</v>
      </c>
      <c r="E46" s="9" t="s">
        <v>319</v>
      </c>
      <c r="F46" s="9" t="s">
        <v>361</v>
      </c>
      <c r="G46" s="9" t="s">
        <v>370</v>
      </c>
      <c r="H46" s="9">
        <v>45</v>
      </c>
      <c r="I46" s="10" t="s">
        <v>371</v>
      </c>
      <c r="J46" s="10" t="s">
        <v>372</v>
      </c>
      <c r="K46" s="9">
        <v>2</v>
      </c>
      <c r="L46" s="10" t="s">
        <v>373</v>
      </c>
      <c r="M46" s="9">
        <v>3</v>
      </c>
      <c r="N46" s="9" t="s">
        <v>62</v>
      </c>
      <c r="O46" s="10" t="s">
        <v>374</v>
      </c>
      <c r="P46" s="10" t="s">
        <v>60</v>
      </c>
      <c r="Q46" s="9">
        <v>0</v>
      </c>
      <c r="R46" s="10"/>
      <c r="S46" s="10"/>
      <c r="T46" s="9"/>
      <c r="U46" s="9"/>
    </row>
    <row r="47" spans="1:21" ht="52.8" x14ac:dyDescent="0.3">
      <c r="A47" s="7" t="s">
        <v>375</v>
      </c>
      <c r="B47" s="8">
        <v>7</v>
      </c>
      <c r="C47" s="9" t="s">
        <v>238</v>
      </c>
      <c r="D47" s="9" t="s">
        <v>318</v>
      </c>
      <c r="E47" s="9" t="s">
        <v>319</v>
      </c>
      <c r="F47" s="9" t="s">
        <v>361</v>
      </c>
      <c r="G47" s="9" t="s">
        <v>376</v>
      </c>
      <c r="H47" s="9">
        <v>46</v>
      </c>
      <c r="I47" s="10" t="s">
        <v>377</v>
      </c>
      <c r="J47" s="10" t="s">
        <v>60</v>
      </c>
      <c r="K47" s="9">
        <v>0</v>
      </c>
      <c r="L47" s="10" t="s">
        <v>378</v>
      </c>
      <c r="M47" s="9">
        <v>2</v>
      </c>
      <c r="N47" s="9" t="s">
        <v>126</v>
      </c>
      <c r="O47" s="10" t="s">
        <v>379</v>
      </c>
      <c r="P47" s="10" t="s">
        <v>60</v>
      </c>
      <c r="Q47" s="9">
        <v>0</v>
      </c>
      <c r="R47" s="10"/>
      <c r="S47" s="10"/>
      <c r="T47" s="9"/>
      <c r="U47" s="9"/>
    </row>
  </sheetData>
  <autoFilter ref="A1:U4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7" customWidth="1"/>
    <col min="3" max="4" width="12" customWidth="1"/>
    <col min="5" max="5" width="30" customWidth="1"/>
    <col min="6" max="6" width="32" customWidth="1"/>
    <col min="7" max="7" width="38" customWidth="1"/>
    <col min="8" max="8" width="9" customWidth="1"/>
    <col min="9" max="10" width="70" customWidth="1"/>
    <col min="11" max="11" width="9" customWidth="1"/>
    <col min="12" max="12" width="70" customWidth="1"/>
    <col min="13" max="13" width="9" customWidth="1"/>
    <col min="14" max="14" width="14" customWidth="1"/>
    <col min="15" max="15" width="55" customWidth="1"/>
    <col min="16" max="16" width="60" customWidth="1"/>
    <col min="17" max="17" width="9" customWidth="1"/>
    <col min="18" max="18" width="50" customWidth="1"/>
    <col min="19" max="19" width="45" customWidth="1"/>
    <col min="20" max="21" width="26" customWidth="1"/>
  </cols>
  <sheetData>
    <row r="1" spans="1:21" ht="30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</row>
    <row r="2" spans="1:21" ht="66" x14ac:dyDescent="0.3">
      <c r="A2" s="11" t="s">
        <v>380</v>
      </c>
      <c r="B2" s="12">
        <v>8</v>
      </c>
      <c r="C2" s="9" t="s">
        <v>54</v>
      </c>
      <c r="D2" s="9" t="s">
        <v>381</v>
      </c>
      <c r="E2" s="9" t="s">
        <v>382</v>
      </c>
      <c r="F2" s="9" t="s">
        <v>383</v>
      </c>
      <c r="G2" s="9" t="s">
        <v>384</v>
      </c>
      <c r="H2" s="9">
        <v>47</v>
      </c>
      <c r="I2" s="10" t="s">
        <v>385</v>
      </c>
      <c r="J2" s="10" t="s">
        <v>386</v>
      </c>
      <c r="K2" s="9">
        <v>4</v>
      </c>
      <c r="L2" s="10" t="s">
        <v>387</v>
      </c>
      <c r="M2" s="9">
        <v>4</v>
      </c>
      <c r="N2" s="9" t="s">
        <v>62</v>
      </c>
      <c r="O2" s="10" t="s">
        <v>388</v>
      </c>
      <c r="P2" s="10" t="s">
        <v>389</v>
      </c>
      <c r="Q2" s="9">
        <v>2</v>
      </c>
      <c r="R2" s="10"/>
      <c r="S2" s="10"/>
      <c r="T2" s="9"/>
      <c r="U2" s="9"/>
    </row>
    <row r="3" spans="1:21" ht="52.8" x14ac:dyDescent="0.3">
      <c r="A3" s="11" t="s">
        <v>390</v>
      </c>
      <c r="B3" s="12">
        <v>8</v>
      </c>
      <c r="C3" s="9" t="s">
        <v>54</v>
      </c>
      <c r="D3" s="9" t="s">
        <v>381</v>
      </c>
      <c r="E3" s="9" t="s">
        <v>382</v>
      </c>
      <c r="F3" s="9" t="s">
        <v>383</v>
      </c>
      <c r="G3" s="9" t="s">
        <v>391</v>
      </c>
      <c r="H3" s="9">
        <v>48</v>
      </c>
      <c r="I3" s="10" t="s">
        <v>392</v>
      </c>
      <c r="J3" s="10" t="s">
        <v>393</v>
      </c>
      <c r="K3" s="9">
        <v>2</v>
      </c>
      <c r="L3" s="10" t="s">
        <v>394</v>
      </c>
      <c r="M3" s="9">
        <v>3</v>
      </c>
      <c r="N3" s="9" t="s">
        <v>62</v>
      </c>
      <c r="O3" s="10" t="s">
        <v>395</v>
      </c>
      <c r="P3" s="10" t="s">
        <v>396</v>
      </c>
      <c r="Q3" s="9">
        <v>1</v>
      </c>
      <c r="R3" s="10"/>
      <c r="S3" s="10"/>
      <c r="T3" s="9"/>
      <c r="U3" s="9"/>
    </row>
    <row r="4" spans="1:21" ht="52.8" x14ac:dyDescent="0.3">
      <c r="A4" s="11" t="s">
        <v>397</v>
      </c>
      <c r="B4" s="12">
        <v>8</v>
      </c>
      <c r="C4" s="9" t="s">
        <v>54</v>
      </c>
      <c r="D4" s="9" t="s">
        <v>381</v>
      </c>
      <c r="E4" s="9" t="s">
        <v>382</v>
      </c>
      <c r="F4" s="9" t="s">
        <v>383</v>
      </c>
      <c r="G4" s="9" t="s">
        <v>398</v>
      </c>
      <c r="H4" s="9">
        <v>49</v>
      </c>
      <c r="I4" s="10" t="s">
        <v>399</v>
      </c>
      <c r="J4" s="10" t="s">
        <v>400</v>
      </c>
      <c r="K4" s="9">
        <v>3</v>
      </c>
      <c r="L4" s="10" t="s">
        <v>401</v>
      </c>
      <c r="M4" s="9">
        <v>4</v>
      </c>
      <c r="N4" s="9" t="s">
        <v>62</v>
      </c>
      <c r="O4" s="10" t="s">
        <v>402</v>
      </c>
      <c r="P4" s="10" t="s">
        <v>403</v>
      </c>
      <c r="Q4" s="9">
        <v>2</v>
      </c>
      <c r="R4" s="10"/>
      <c r="S4" s="10"/>
      <c r="T4" s="9"/>
      <c r="U4" s="9" t="s">
        <v>404</v>
      </c>
    </row>
    <row r="5" spans="1:21" ht="52.8" x14ac:dyDescent="0.3">
      <c r="A5" s="11" t="s">
        <v>405</v>
      </c>
      <c r="B5" s="12">
        <v>8</v>
      </c>
      <c r="C5" s="9" t="s">
        <v>54</v>
      </c>
      <c r="D5" s="9" t="s">
        <v>381</v>
      </c>
      <c r="E5" s="9" t="s">
        <v>382</v>
      </c>
      <c r="F5" s="9" t="s">
        <v>406</v>
      </c>
      <c r="G5" s="9" t="s">
        <v>407</v>
      </c>
      <c r="H5" s="9">
        <v>50</v>
      </c>
      <c r="I5" s="10" t="s">
        <v>408</v>
      </c>
      <c r="J5" s="10" t="s">
        <v>409</v>
      </c>
      <c r="K5" s="9">
        <v>1</v>
      </c>
      <c r="L5" s="10" t="s">
        <v>410</v>
      </c>
      <c r="M5" s="9">
        <v>4</v>
      </c>
      <c r="N5" s="9" t="s">
        <v>62</v>
      </c>
      <c r="O5" s="10" t="s">
        <v>411</v>
      </c>
      <c r="P5" s="10" t="s">
        <v>412</v>
      </c>
      <c r="Q5" s="9">
        <v>2</v>
      </c>
      <c r="R5" s="10"/>
      <c r="S5" s="10"/>
      <c r="T5" s="9"/>
      <c r="U5" s="9" t="s">
        <v>413</v>
      </c>
    </row>
    <row r="6" spans="1:21" ht="66" x14ac:dyDescent="0.3">
      <c r="A6" s="11" t="s">
        <v>414</v>
      </c>
      <c r="B6" s="12">
        <v>8</v>
      </c>
      <c r="C6" s="9" t="s">
        <v>54</v>
      </c>
      <c r="D6" s="9" t="s">
        <v>381</v>
      </c>
      <c r="E6" s="9" t="s">
        <v>382</v>
      </c>
      <c r="F6" s="9" t="s">
        <v>406</v>
      </c>
      <c r="G6" s="9" t="s">
        <v>415</v>
      </c>
      <c r="H6" s="9">
        <v>51</v>
      </c>
      <c r="I6" s="10" t="s">
        <v>416</v>
      </c>
      <c r="J6" s="10" t="s">
        <v>417</v>
      </c>
      <c r="K6" s="9">
        <v>4</v>
      </c>
      <c r="L6" s="10" t="s">
        <v>418</v>
      </c>
      <c r="M6" s="9">
        <v>5</v>
      </c>
      <c r="N6" s="9" t="s">
        <v>62</v>
      </c>
      <c r="O6" s="10" t="s">
        <v>419</v>
      </c>
      <c r="P6" s="10" t="s">
        <v>420</v>
      </c>
      <c r="Q6" s="9">
        <v>3</v>
      </c>
      <c r="R6" s="10"/>
      <c r="S6" s="10"/>
      <c r="T6" s="9" t="s">
        <v>405</v>
      </c>
      <c r="U6" s="9" t="s">
        <v>421</v>
      </c>
    </row>
    <row r="7" spans="1:21" ht="52.8" x14ac:dyDescent="0.3">
      <c r="A7" s="11" t="s">
        <v>422</v>
      </c>
      <c r="B7" s="12">
        <v>8</v>
      </c>
      <c r="C7" s="9" t="s">
        <v>54</v>
      </c>
      <c r="D7" s="9" t="s">
        <v>381</v>
      </c>
      <c r="E7" s="9" t="s">
        <v>382</v>
      </c>
      <c r="F7" s="9" t="s">
        <v>406</v>
      </c>
      <c r="G7" s="9" t="s">
        <v>423</v>
      </c>
      <c r="H7" s="9">
        <v>52</v>
      </c>
      <c r="I7" s="10" t="s">
        <v>424</v>
      </c>
      <c r="J7" s="10" t="s">
        <v>425</v>
      </c>
      <c r="K7" s="9">
        <v>4</v>
      </c>
      <c r="L7" s="10" t="s">
        <v>426</v>
      </c>
      <c r="M7" s="9">
        <v>4</v>
      </c>
      <c r="N7" s="9" t="s">
        <v>62</v>
      </c>
      <c r="O7" s="10" t="s">
        <v>427</v>
      </c>
      <c r="P7" s="10" t="s">
        <v>428</v>
      </c>
      <c r="Q7" s="9">
        <v>3</v>
      </c>
      <c r="R7" s="10"/>
      <c r="S7" s="10"/>
      <c r="T7" s="9"/>
      <c r="U7" s="9" t="s">
        <v>429</v>
      </c>
    </row>
    <row r="8" spans="1:21" ht="79.2" x14ac:dyDescent="0.3">
      <c r="A8" s="11" t="s">
        <v>430</v>
      </c>
      <c r="B8" s="12">
        <v>8</v>
      </c>
      <c r="C8" s="9" t="s">
        <v>54</v>
      </c>
      <c r="D8" s="9" t="s">
        <v>381</v>
      </c>
      <c r="E8" s="9" t="s">
        <v>382</v>
      </c>
      <c r="F8" s="9" t="s">
        <v>431</v>
      </c>
      <c r="G8" s="9" t="s">
        <v>432</v>
      </c>
      <c r="H8" s="9">
        <v>53</v>
      </c>
      <c r="I8" s="10" t="s">
        <v>433</v>
      </c>
      <c r="J8" s="10" t="s">
        <v>434</v>
      </c>
      <c r="K8" s="9">
        <v>6</v>
      </c>
      <c r="L8" s="10" t="s">
        <v>435</v>
      </c>
      <c r="M8" s="9">
        <v>4</v>
      </c>
      <c r="N8" s="9" t="s">
        <v>62</v>
      </c>
      <c r="O8" s="10" t="s">
        <v>436</v>
      </c>
      <c r="P8" s="10" t="s">
        <v>437</v>
      </c>
      <c r="Q8" s="9">
        <v>3</v>
      </c>
      <c r="R8" s="10"/>
      <c r="S8" s="10"/>
      <c r="T8" s="9"/>
      <c r="U8" s="9"/>
    </row>
    <row r="9" spans="1:21" ht="52.8" x14ac:dyDescent="0.3">
      <c r="A9" s="11" t="s">
        <v>438</v>
      </c>
      <c r="B9" s="12">
        <v>8</v>
      </c>
      <c r="C9" s="9" t="s">
        <v>54</v>
      </c>
      <c r="D9" s="9" t="s">
        <v>381</v>
      </c>
      <c r="E9" s="9" t="s">
        <v>382</v>
      </c>
      <c r="F9" s="9" t="s">
        <v>431</v>
      </c>
      <c r="G9" s="9" t="s">
        <v>439</v>
      </c>
      <c r="H9" s="9">
        <v>54</v>
      </c>
      <c r="I9" s="10" t="s">
        <v>440</v>
      </c>
      <c r="J9" s="10" t="s">
        <v>60</v>
      </c>
      <c r="K9" s="9">
        <v>0</v>
      </c>
      <c r="L9" s="10" t="s">
        <v>441</v>
      </c>
      <c r="M9" s="9">
        <v>2</v>
      </c>
      <c r="N9" s="9" t="s">
        <v>126</v>
      </c>
      <c r="O9" s="10" t="s">
        <v>442</v>
      </c>
      <c r="P9" s="10" t="s">
        <v>60</v>
      </c>
      <c r="Q9" s="9">
        <v>0</v>
      </c>
      <c r="R9" s="10"/>
      <c r="S9" s="10"/>
      <c r="T9" s="9"/>
      <c r="U9" s="9"/>
    </row>
    <row r="10" spans="1:21" ht="39.6" x14ac:dyDescent="0.3">
      <c r="A10" s="11" t="s">
        <v>443</v>
      </c>
      <c r="B10" s="12">
        <v>8</v>
      </c>
      <c r="C10" s="9" t="s">
        <v>54</v>
      </c>
      <c r="D10" s="9" t="s">
        <v>381</v>
      </c>
      <c r="E10" s="9" t="s">
        <v>382</v>
      </c>
      <c r="F10" s="9" t="s">
        <v>431</v>
      </c>
      <c r="G10" s="9" t="s">
        <v>444</v>
      </c>
      <c r="H10" s="9">
        <v>55</v>
      </c>
      <c r="I10" s="10" t="s">
        <v>445</v>
      </c>
      <c r="J10" s="10" t="s">
        <v>60</v>
      </c>
      <c r="K10" s="9">
        <v>0</v>
      </c>
      <c r="L10" s="10" t="s">
        <v>60</v>
      </c>
      <c r="M10" s="9">
        <v>0</v>
      </c>
      <c r="N10" s="9" t="s">
        <v>126</v>
      </c>
      <c r="O10" s="10" t="s">
        <v>446</v>
      </c>
      <c r="P10" s="10" t="s">
        <v>60</v>
      </c>
      <c r="Q10" s="9">
        <v>0</v>
      </c>
      <c r="R10" s="10"/>
      <c r="S10" s="10"/>
      <c r="T10" s="9"/>
      <c r="U10" s="9"/>
    </row>
    <row r="11" spans="1:21" ht="79.2" x14ac:dyDescent="0.3">
      <c r="A11" s="11" t="s">
        <v>447</v>
      </c>
      <c r="B11" s="12">
        <v>8</v>
      </c>
      <c r="C11" s="9" t="s">
        <v>54</v>
      </c>
      <c r="D11" s="9" t="s">
        <v>381</v>
      </c>
      <c r="E11" s="9" t="s">
        <v>382</v>
      </c>
      <c r="F11" s="9" t="s">
        <v>431</v>
      </c>
      <c r="G11" s="9" t="s">
        <v>448</v>
      </c>
      <c r="H11" s="9">
        <v>56</v>
      </c>
      <c r="I11" s="10" t="s">
        <v>449</v>
      </c>
      <c r="J11" s="10" t="s">
        <v>450</v>
      </c>
      <c r="K11" s="9">
        <v>6</v>
      </c>
      <c r="L11" s="10" t="s">
        <v>451</v>
      </c>
      <c r="M11" s="9">
        <v>4</v>
      </c>
      <c r="N11" s="9" t="s">
        <v>62</v>
      </c>
      <c r="O11" s="10" t="s">
        <v>452</v>
      </c>
      <c r="P11" s="10" t="s">
        <v>453</v>
      </c>
      <c r="Q11" s="9">
        <v>3</v>
      </c>
      <c r="R11" s="10" t="s">
        <v>454</v>
      </c>
      <c r="S11" s="10"/>
      <c r="T11" s="9"/>
      <c r="U11" s="9"/>
    </row>
    <row r="12" spans="1:21" ht="66" x14ac:dyDescent="0.3">
      <c r="A12" s="11" t="s">
        <v>455</v>
      </c>
      <c r="B12" s="12">
        <v>8</v>
      </c>
      <c r="C12" s="9" t="s">
        <v>54</v>
      </c>
      <c r="D12" s="9" t="s">
        <v>381</v>
      </c>
      <c r="E12" s="9" t="s">
        <v>382</v>
      </c>
      <c r="F12" s="9" t="s">
        <v>456</v>
      </c>
      <c r="G12" s="9" t="s">
        <v>457</v>
      </c>
      <c r="H12" s="9">
        <v>57</v>
      </c>
      <c r="I12" s="10" t="s">
        <v>458</v>
      </c>
      <c r="J12" s="10" t="s">
        <v>60</v>
      </c>
      <c r="K12" s="9">
        <v>0</v>
      </c>
      <c r="L12" s="10" t="s">
        <v>60</v>
      </c>
      <c r="M12" s="9">
        <v>0</v>
      </c>
      <c r="N12" s="9" t="s">
        <v>76</v>
      </c>
      <c r="O12" s="10" t="s">
        <v>459</v>
      </c>
      <c r="P12" s="10" t="s">
        <v>60</v>
      </c>
      <c r="Q12" s="9">
        <v>0</v>
      </c>
      <c r="R12" s="10"/>
      <c r="S12" s="10"/>
      <c r="T12" s="9"/>
      <c r="U12" s="9"/>
    </row>
    <row r="13" spans="1:21" ht="66" x14ac:dyDescent="0.3">
      <c r="A13" s="11" t="s">
        <v>460</v>
      </c>
      <c r="B13" s="12">
        <v>8</v>
      </c>
      <c r="C13" s="9" t="s">
        <v>54</v>
      </c>
      <c r="D13" s="9" t="s">
        <v>381</v>
      </c>
      <c r="E13" s="9" t="s">
        <v>382</v>
      </c>
      <c r="F13" s="9" t="s">
        <v>456</v>
      </c>
      <c r="G13" s="9" t="s">
        <v>461</v>
      </c>
      <c r="H13" s="9">
        <v>58</v>
      </c>
      <c r="I13" s="10" t="s">
        <v>462</v>
      </c>
      <c r="J13" s="10" t="s">
        <v>463</v>
      </c>
      <c r="K13" s="9">
        <v>2</v>
      </c>
      <c r="L13" s="10" t="s">
        <v>464</v>
      </c>
      <c r="M13" s="9">
        <v>4</v>
      </c>
      <c r="N13" s="9" t="s">
        <v>76</v>
      </c>
      <c r="O13" s="10" t="s">
        <v>465</v>
      </c>
      <c r="P13" s="10" t="s">
        <v>60</v>
      </c>
      <c r="Q13" s="9">
        <v>0</v>
      </c>
      <c r="R13" s="10"/>
      <c r="S13" s="10"/>
      <c r="T13" s="9"/>
      <c r="U13" s="9"/>
    </row>
    <row r="14" spans="1:21" ht="79.2" x14ac:dyDescent="0.3">
      <c r="A14" s="11" t="s">
        <v>466</v>
      </c>
      <c r="B14" s="12">
        <v>8</v>
      </c>
      <c r="C14" s="9" t="s">
        <v>54</v>
      </c>
      <c r="D14" s="9" t="s">
        <v>381</v>
      </c>
      <c r="E14" s="9" t="s">
        <v>382</v>
      </c>
      <c r="F14" s="9" t="s">
        <v>456</v>
      </c>
      <c r="G14" s="9" t="s">
        <v>467</v>
      </c>
      <c r="H14" s="9">
        <v>59</v>
      </c>
      <c r="I14" s="10" t="s">
        <v>468</v>
      </c>
      <c r="J14" s="10" t="s">
        <v>469</v>
      </c>
      <c r="K14" s="9">
        <v>4</v>
      </c>
      <c r="L14" s="10" t="s">
        <v>470</v>
      </c>
      <c r="M14" s="9">
        <v>5</v>
      </c>
      <c r="N14" s="9" t="s">
        <v>62</v>
      </c>
      <c r="O14" s="10" t="s">
        <v>471</v>
      </c>
      <c r="P14" s="10" t="s">
        <v>472</v>
      </c>
      <c r="Q14" s="9">
        <v>2</v>
      </c>
      <c r="R14" s="10" t="s">
        <v>473</v>
      </c>
      <c r="S14" s="10"/>
      <c r="T14" s="9"/>
      <c r="U14" s="9" t="s">
        <v>474</v>
      </c>
    </row>
    <row r="15" spans="1:21" ht="66" x14ac:dyDescent="0.3">
      <c r="A15" s="11" t="s">
        <v>475</v>
      </c>
      <c r="B15" s="12">
        <v>8</v>
      </c>
      <c r="C15" s="9" t="s">
        <v>54</v>
      </c>
      <c r="D15" s="9" t="s">
        <v>381</v>
      </c>
      <c r="E15" s="9" t="s">
        <v>382</v>
      </c>
      <c r="F15" s="9" t="s">
        <v>476</v>
      </c>
      <c r="G15" s="9" t="s">
        <v>477</v>
      </c>
      <c r="H15" s="9">
        <v>60</v>
      </c>
      <c r="I15" s="10" t="s">
        <v>478</v>
      </c>
      <c r="J15" s="10" t="s">
        <v>479</v>
      </c>
      <c r="K15" s="9">
        <v>3</v>
      </c>
      <c r="L15" s="10" t="s">
        <v>480</v>
      </c>
      <c r="M15" s="9">
        <v>4</v>
      </c>
      <c r="N15" s="9" t="s">
        <v>62</v>
      </c>
      <c r="O15" s="10" t="s">
        <v>481</v>
      </c>
      <c r="P15" s="10" t="s">
        <v>482</v>
      </c>
      <c r="Q15" s="9">
        <v>2</v>
      </c>
      <c r="R15" s="10"/>
      <c r="S15" s="10"/>
      <c r="T15" s="9"/>
      <c r="U15" s="9"/>
    </row>
    <row r="16" spans="1:21" ht="39.6" x14ac:dyDescent="0.3">
      <c r="A16" s="11" t="s">
        <v>483</v>
      </c>
      <c r="B16" s="12">
        <v>8</v>
      </c>
      <c r="C16" s="9" t="s">
        <v>54</v>
      </c>
      <c r="D16" s="9" t="s">
        <v>381</v>
      </c>
      <c r="E16" s="9" t="s">
        <v>382</v>
      </c>
      <c r="F16" s="9" t="s">
        <v>476</v>
      </c>
      <c r="G16" s="9" t="s">
        <v>484</v>
      </c>
      <c r="H16" s="9">
        <v>61</v>
      </c>
      <c r="I16" s="10" t="s">
        <v>485</v>
      </c>
      <c r="J16" s="10" t="s">
        <v>486</v>
      </c>
      <c r="K16" s="9">
        <v>2</v>
      </c>
      <c r="L16" s="10" t="s">
        <v>487</v>
      </c>
      <c r="M16" s="9">
        <v>3</v>
      </c>
      <c r="N16" s="9" t="s">
        <v>126</v>
      </c>
      <c r="O16" s="10" t="s">
        <v>488</v>
      </c>
      <c r="P16" s="10" t="s">
        <v>60</v>
      </c>
      <c r="Q16" s="9">
        <v>0</v>
      </c>
      <c r="R16" s="10"/>
      <c r="S16" s="10"/>
      <c r="T16" s="9"/>
      <c r="U16" s="9"/>
    </row>
    <row r="17" spans="1:21" ht="66" x14ac:dyDescent="0.3">
      <c r="A17" s="11" t="s">
        <v>489</v>
      </c>
      <c r="B17" s="12">
        <v>8</v>
      </c>
      <c r="C17" s="9" t="s">
        <v>54</v>
      </c>
      <c r="D17" s="9" t="s">
        <v>381</v>
      </c>
      <c r="E17" s="9" t="s">
        <v>382</v>
      </c>
      <c r="F17" s="9" t="s">
        <v>490</v>
      </c>
      <c r="G17" s="9" t="s">
        <v>491</v>
      </c>
      <c r="H17" s="9">
        <v>62</v>
      </c>
      <c r="I17" s="10" t="s">
        <v>492</v>
      </c>
      <c r="J17" s="10" t="s">
        <v>60</v>
      </c>
      <c r="K17" s="9">
        <v>0</v>
      </c>
      <c r="L17" s="10" t="s">
        <v>493</v>
      </c>
      <c r="M17" s="9">
        <v>2</v>
      </c>
      <c r="N17" s="9" t="s">
        <v>62</v>
      </c>
      <c r="O17" s="10" t="s">
        <v>494</v>
      </c>
      <c r="P17" s="10" t="s">
        <v>495</v>
      </c>
      <c r="Q17" s="9">
        <v>2</v>
      </c>
      <c r="R17" s="10"/>
      <c r="S17" s="10"/>
      <c r="T17" s="9"/>
      <c r="U17" s="9" t="s">
        <v>496</v>
      </c>
    </row>
    <row r="18" spans="1:21" ht="79.2" x14ac:dyDescent="0.3">
      <c r="A18" s="11" t="s">
        <v>497</v>
      </c>
      <c r="B18" s="12">
        <v>8</v>
      </c>
      <c r="C18" s="9" t="s">
        <v>54</v>
      </c>
      <c r="D18" s="9" t="s">
        <v>381</v>
      </c>
      <c r="E18" s="9" t="s">
        <v>382</v>
      </c>
      <c r="F18" s="9" t="s">
        <v>490</v>
      </c>
      <c r="G18" s="9" t="s">
        <v>498</v>
      </c>
      <c r="H18" s="9">
        <v>63</v>
      </c>
      <c r="I18" s="10" t="s">
        <v>499</v>
      </c>
      <c r="J18" s="10" t="s">
        <v>500</v>
      </c>
      <c r="K18" s="9">
        <v>4</v>
      </c>
      <c r="L18" s="10" t="s">
        <v>501</v>
      </c>
      <c r="M18" s="9">
        <v>5</v>
      </c>
      <c r="N18" s="9" t="s">
        <v>62</v>
      </c>
      <c r="O18" s="10" t="s">
        <v>502</v>
      </c>
      <c r="P18" s="10" t="s">
        <v>503</v>
      </c>
      <c r="Q18" s="9">
        <v>2</v>
      </c>
      <c r="R18" s="10"/>
      <c r="S18" s="10"/>
      <c r="T18" s="9"/>
      <c r="U18" s="9" t="s">
        <v>504</v>
      </c>
    </row>
    <row r="19" spans="1:21" ht="52.8" x14ac:dyDescent="0.3">
      <c r="A19" s="11" t="s">
        <v>505</v>
      </c>
      <c r="B19" s="12">
        <v>8</v>
      </c>
      <c r="C19" s="9" t="s">
        <v>54</v>
      </c>
      <c r="D19" s="9" t="s">
        <v>381</v>
      </c>
      <c r="E19" s="9" t="s">
        <v>382</v>
      </c>
      <c r="F19" s="9" t="s">
        <v>490</v>
      </c>
      <c r="G19" s="9" t="s">
        <v>506</v>
      </c>
      <c r="H19" s="9">
        <v>64</v>
      </c>
      <c r="I19" s="10" t="s">
        <v>507</v>
      </c>
      <c r="J19" s="10" t="s">
        <v>60</v>
      </c>
      <c r="K19" s="9">
        <v>0</v>
      </c>
      <c r="L19" s="10" t="s">
        <v>508</v>
      </c>
      <c r="M19" s="9">
        <v>3</v>
      </c>
      <c r="N19" s="9" t="s">
        <v>101</v>
      </c>
      <c r="O19" s="10" t="s">
        <v>509</v>
      </c>
      <c r="P19" s="10" t="s">
        <v>510</v>
      </c>
      <c r="Q19" s="9">
        <v>2</v>
      </c>
      <c r="R19" s="10" t="s">
        <v>511</v>
      </c>
      <c r="S19" s="10"/>
      <c r="T19" s="9"/>
      <c r="U19" s="9" t="s">
        <v>512</v>
      </c>
    </row>
    <row r="20" spans="1:21" ht="52.8" x14ac:dyDescent="0.3">
      <c r="A20" s="11" t="s">
        <v>513</v>
      </c>
      <c r="B20" s="12">
        <v>8</v>
      </c>
      <c r="C20" s="9" t="s">
        <v>54</v>
      </c>
      <c r="D20" s="9" t="s">
        <v>381</v>
      </c>
      <c r="E20" s="9" t="s">
        <v>382</v>
      </c>
      <c r="F20" s="9" t="s">
        <v>514</v>
      </c>
      <c r="G20" s="9" t="s">
        <v>515</v>
      </c>
      <c r="H20" s="9">
        <v>65</v>
      </c>
      <c r="I20" s="10" t="s">
        <v>516</v>
      </c>
      <c r="J20" s="10" t="s">
        <v>60</v>
      </c>
      <c r="K20" s="9">
        <v>0</v>
      </c>
      <c r="L20" s="10" t="s">
        <v>60</v>
      </c>
      <c r="M20" s="9">
        <v>0</v>
      </c>
      <c r="N20" s="9" t="s">
        <v>76</v>
      </c>
      <c r="O20" s="10" t="s">
        <v>517</v>
      </c>
      <c r="P20" s="10" t="s">
        <v>60</v>
      </c>
      <c r="Q20" s="9">
        <v>0</v>
      </c>
      <c r="R20" s="10"/>
      <c r="S20" s="10"/>
      <c r="T20" s="9"/>
      <c r="U20" s="9"/>
    </row>
    <row r="21" spans="1:21" ht="66" x14ac:dyDescent="0.3">
      <c r="A21" s="11" t="s">
        <v>518</v>
      </c>
      <c r="B21" s="12">
        <v>8</v>
      </c>
      <c r="C21" s="9" t="s">
        <v>54</v>
      </c>
      <c r="D21" s="9" t="s">
        <v>381</v>
      </c>
      <c r="E21" s="9" t="s">
        <v>382</v>
      </c>
      <c r="F21" s="9" t="s">
        <v>514</v>
      </c>
      <c r="G21" s="9" t="s">
        <v>519</v>
      </c>
      <c r="H21" s="9">
        <v>66</v>
      </c>
      <c r="I21" s="10" t="s">
        <v>520</v>
      </c>
      <c r="J21" s="10" t="s">
        <v>521</v>
      </c>
      <c r="K21" s="9">
        <v>3</v>
      </c>
      <c r="L21" s="10" t="s">
        <v>522</v>
      </c>
      <c r="M21" s="9">
        <v>4</v>
      </c>
      <c r="N21" s="9" t="s">
        <v>62</v>
      </c>
      <c r="O21" s="10" t="s">
        <v>523</v>
      </c>
      <c r="P21" s="10" t="s">
        <v>524</v>
      </c>
      <c r="Q21" s="9">
        <v>2</v>
      </c>
      <c r="R21" s="10"/>
      <c r="S21" s="10"/>
      <c r="T21" s="9"/>
      <c r="U21" s="9" t="s">
        <v>525</v>
      </c>
    </row>
    <row r="22" spans="1:21" ht="79.2" x14ac:dyDescent="0.3">
      <c r="A22" s="11" t="s">
        <v>526</v>
      </c>
      <c r="B22" s="12">
        <v>8</v>
      </c>
      <c r="C22" s="9" t="s">
        <v>54</v>
      </c>
      <c r="D22" s="9" t="s">
        <v>381</v>
      </c>
      <c r="E22" s="9" t="s">
        <v>382</v>
      </c>
      <c r="F22" s="9" t="s">
        <v>514</v>
      </c>
      <c r="G22" s="9" t="s">
        <v>527</v>
      </c>
      <c r="H22" s="9">
        <v>67</v>
      </c>
      <c r="I22" s="10" t="s">
        <v>528</v>
      </c>
      <c r="J22" s="10" t="s">
        <v>529</v>
      </c>
      <c r="K22" s="9">
        <v>5</v>
      </c>
      <c r="L22" s="10" t="s">
        <v>530</v>
      </c>
      <c r="M22" s="9">
        <v>5</v>
      </c>
      <c r="N22" s="9" t="s">
        <v>62</v>
      </c>
      <c r="O22" s="10" t="s">
        <v>531</v>
      </c>
      <c r="P22" s="10" t="s">
        <v>532</v>
      </c>
      <c r="Q22" s="9">
        <v>2</v>
      </c>
      <c r="R22" s="10"/>
      <c r="S22" s="10"/>
      <c r="T22" s="9"/>
      <c r="U22" s="9" t="s">
        <v>533</v>
      </c>
    </row>
    <row r="23" spans="1:21" ht="52.8" x14ac:dyDescent="0.3">
      <c r="A23" s="11" t="s">
        <v>534</v>
      </c>
      <c r="B23" s="12">
        <v>8</v>
      </c>
      <c r="C23" s="9" t="s">
        <v>54</v>
      </c>
      <c r="D23" s="9" t="s">
        <v>381</v>
      </c>
      <c r="E23" s="9" t="s">
        <v>382</v>
      </c>
      <c r="F23" s="9" t="s">
        <v>514</v>
      </c>
      <c r="G23" s="9" t="s">
        <v>535</v>
      </c>
      <c r="H23" s="9">
        <v>68</v>
      </c>
      <c r="I23" s="10" t="s">
        <v>536</v>
      </c>
      <c r="J23" s="10" t="s">
        <v>60</v>
      </c>
      <c r="K23" s="9">
        <v>0</v>
      </c>
      <c r="L23" s="10" t="s">
        <v>537</v>
      </c>
      <c r="M23" s="9">
        <v>2</v>
      </c>
      <c r="N23" s="9" t="s">
        <v>126</v>
      </c>
      <c r="O23" s="10" t="s">
        <v>538</v>
      </c>
      <c r="P23" s="10" t="s">
        <v>60</v>
      </c>
      <c r="Q23" s="9">
        <v>0</v>
      </c>
      <c r="R23" s="10"/>
      <c r="S23" s="10"/>
      <c r="T23" s="9"/>
      <c r="U23" s="9"/>
    </row>
    <row r="24" spans="1:21" ht="52.8" x14ac:dyDescent="0.3">
      <c r="A24" s="11" t="s">
        <v>539</v>
      </c>
      <c r="B24" s="12">
        <v>8</v>
      </c>
      <c r="C24" s="9" t="s">
        <v>54</v>
      </c>
      <c r="D24" s="9" t="s">
        <v>381</v>
      </c>
      <c r="E24" s="9" t="s">
        <v>382</v>
      </c>
      <c r="F24" s="9" t="s">
        <v>540</v>
      </c>
      <c r="G24" s="9" t="s">
        <v>541</v>
      </c>
      <c r="H24" s="9">
        <v>69</v>
      </c>
      <c r="I24" s="10" t="s">
        <v>542</v>
      </c>
      <c r="J24" s="10" t="s">
        <v>543</v>
      </c>
      <c r="K24" s="9">
        <v>4</v>
      </c>
      <c r="L24" s="10" t="s">
        <v>544</v>
      </c>
      <c r="M24" s="9">
        <v>4</v>
      </c>
      <c r="N24" s="9" t="s">
        <v>62</v>
      </c>
      <c r="O24" s="10" t="s">
        <v>545</v>
      </c>
      <c r="P24" s="10" t="s">
        <v>546</v>
      </c>
      <c r="Q24" s="9">
        <v>2</v>
      </c>
      <c r="R24" s="10"/>
      <c r="S24" s="10"/>
      <c r="T24" s="9"/>
      <c r="U24" s="9" t="s">
        <v>547</v>
      </c>
    </row>
    <row r="25" spans="1:21" ht="52.8" x14ac:dyDescent="0.3">
      <c r="A25" s="11" t="s">
        <v>548</v>
      </c>
      <c r="B25" s="12">
        <v>8</v>
      </c>
      <c r="C25" s="9" t="s">
        <v>54</v>
      </c>
      <c r="D25" s="9" t="s">
        <v>381</v>
      </c>
      <c r="E25" s="9" t="s">
        <v>382</v>
      </c>
      <c r="F25" s="9" t="s">
        <v>540</v>
      </c>
      <c r="G25" s="9" t="s">
        <v>549</v>
      </c>
      <c r="H25" s="9">
        <v>70</v>
      </c>
      <c r="I25" s="10" t="s">
        <v>550</v>
      </c>
      <c r="J25" s="10" t="s">
        <v>551</v>
      </c>
      <c r="K25" s="9">
        <v>3</v>
      </c>
      <c r="L25" s="10" t="s">
        <v>552</v>
      </c>
      <c r="M25" s="9">
        <v>3</v>
      </c>
      <c r="N25" s="9" t="s">
        <v>62</v>
      </c>
      <c r="O25" s="10" t="s">
        <v>553</v>
      </c>
      <c r="P25" s="10" t="s">
        <v>554</v>
      </c>
      <c r="Q25" s="9">
        <v>1</v>
      </c>
      <c r="R25" s="10"/>
      <c r="S25" s="10"/>
      <c r="T25" s="9"/>
      <c r="U25" s="9" t="s">
        <v>555</v>
      </c>
    </row>
    <row r="26" spans="1:21" ht="66" x14ac:dyDescent="0.3">
      <c r="A26" s="11" t="s">
        <v>556</v>
      </c>
      <c r="B26" s="12">
        <v>8</v>
      </c>
      <c r="C26" s="9" t="s">
        <v>54</v>
      </c>
      <c r="D26" s="9" t="s">
        <v>381</v>
      </c>
      <c r="E26" s="9" t="s">
        <v>382</v>
      </c>
      <c r="F26" s="9" t="s">
        <v>540</v>
      </c>
      <c r="G26" s="9" t="s">
        <v>557</v>
      </c>
      <c r="H26" s="9">
        <v>71</v>
      </c>
      <c r="I26" s="10" t="s">
        <v>558</v>
      </c>
      <c r="J26" s="10" t="s">
        <v>559</v>
      </c>
      <c r="K26" s="9">
        <v>3</v>
      </c>
      <c r="L26" s="10" t="s">
        <v>560</v>
      </c>
      <c r="M26" s="9">
        <v>5</v>
      </c>
      <c r="N26" s="9" t="s">
        <v>62</v>
      </c>
      <c r="O26" s="10" t="s">
        <v>561</v>
      </c>
      <c r="P26" s="10" t="s">
        <v>562</v>
      </c>
      <c r="Q26" s="9">
        <v>2</v>
      </c>
      <c r="R26" s="10" t="s">
        <v>563</v>
      </c>
      <c r="S26" s="10"/>
      <c r="T26" s="9"/>
      <c r="U26" s="9" t="s">
        <v>555</v>
      </c>
    </row>
    <row r="27" spans="1:21" ht="52.8" x14ac:dyDescent="0.3">
      <c r="A27" s="11" t="s">
        <v>564</v>
      </c>
      <c r="B27" s="12">
        <v>8</v>
      </c>
      <c r="C27" s="9" t="s">
        <v>238</v>
      </c>
      <c r="D27" s="9" t="s">
        <v>565</v>
      </c>
      <c r="E27" s="9" t="s">
        <v>566</v>
      </c>
      <c r="F27" s="9" t="s">
        <v>567</v>
      </c>
      <c r="G27" s="9" t="s">
        <v>568</v>
      </c>
      <c r="H27" s="9">
        <v>72</v>
      </c>
      <c r="I27" s="10" t="s">
        <v>569</v>
      </c>
      <c r="J27" s="10" t="s">
        <v>60</v>
      </c>
      <c r="K27" s="9">
        <v>0</v>
      </c>
      <c r="L27" s="10" t="s">
        <v>570</v>
      </c>
      <c r="M27" s="9">
        <v>4</v>
      </c>
      <c r="N27" s="9" t="s">
        <v>126</v>
      </c>
      <c r="O27" s="10" t="s">
        <v>538</v>
      </c>
      <c r="P27" s="10" t="s">
        <v>60</v>
      </c>
      <c r="Q27" s="9">
        <v>0</v>
      </c>
      <c r="R27" s="10"/>
      <c r="S27" s="10"/>
      <c r="T27" s="9" t="s">
        <v>327</v>
      </c>
      <c r="U27" s="9" t="s">
        <v>571</v>
      </c>
    </row>
    <row r="28" spans="1:21" ht="26.4" x14ac:dyDescent="0.3">
      <c r="A28" s="11" t="s">
        <v>572</v>
      </c>
      <c r="B28" s="12">
        <v>8</v>
      </c>
      <c r="C28" s="9" t="s">
        <v>238</v>
      </c>
      <c r="D28" s="9" t="s">
        <v>565</v>
      </c>
      <c r="E28" s="9" t="s">
        <v>566</v>
      </c>
      <c r="F28" s="9" t="s">
        <v>567</v>
      </c>
      <c r="G28" s="9" t="s">
        <v>343</v>
      </c>
      <c r="H28" s="9">
        <v>73</v>
      </c>
      <c r="I28" s="10" t="s">
        <v>573</v>
      </c>
      <c r="J28" s="10" t="s">
        <v>60</v>
      </c>
      <c r="K28" s="9">
        <v>0</v>
      </c>
      <c r="L28" s="10" t="s">
        <v>574</v>
      </c>
      <c r="M28" s="9">
        <v>2</v>
      </c>
      <c r="N28" s="9" t="s">
        <v>126</v>
      </c>
      <c r="O28" s="10" t="s">
        <v>538</v>
      </c>
      <c r="P28" s="10" t="s">
        <v>60</v>
      </c>
      <c r="Q28" s="9">
        <v>0</v>
      </c>
      <c r="R28" s="10"/>
      <c r="S28" s="10"/>
      <c r="T28" s="9" t="s">
        <v>341</v>
      </c>
      <c r="U28" s="9" t="s">
        <v>575</v>
      </c>
    </row>
    <row r="29" spans="1:21" ht="66" x14ac:dyDescent="0.3">
      <c r="A29" s="11" t="s">
        <v>576</v>
      </c>
      <c r="B29" s="12">
        <v>8</v>
      </c>
      <c r="C29" s="9" t="s">
        <v>238</v>
      </c>
      <c r="D29" s="9" t="s">
        <v>565</v>
      </c>
      <c r="E29" s="9" t="s">
        <v>566</v>
      </c>
      <c r="F29" s="9" t="s">
        <v>567</v>
      </c>
      <c r="G29" s="9" t="s">
        <v>577</v>
      </c>
      <c r="H29" s="9">
        <v>74</v>
      </c>
      <c r="I29" s="10" t="s">
        <v>578</v>
      </c>
      <c r="J29" s="10" t="s">
        <v>60</v>
      </c>
      <c r="K29" s="9">
        <v>0</v>
      </c>
      <c r="L29" s="10" t="s">
        <v>579</v>
      </c>
      <c r="M29" s="9">
        <v>4</v>
      </c>
      <c r="N29" s="9" t="s">
        <v>126</v>
      </c>
      <c r="O29" s="10" t="s">
        <v>538</v>
      </c>
      <c r="P29" s="10" t="s">
        <v>60</v>
      </c>
      <c r="Q29" s="9">
        <v>0</v>
      </c>
      <c r="R29" s="10"/>
      <c r="S29" s="10"/>
      <c r="T29" s="9" t="s">
        <v>351</v>
      </c>
      <c r="U29" s="9" t="s">
        <v>571</v>
      </c>
    </row>
    <row r="30" spans="1:21" ht="52.8" x14ac:dyDescent="0.3">
      <c r="A30" s="11" t="s">
        <v>580</v>
      </c>
      <c r="B30" s="12">
        <v>8</v>
      </c>
      <c r="C30" s="9" t="s">
        <v>238</v>
      </c>
      <c r="D30" s="9" t="s">
        <v>565</v>
      </c>
      <c r="E30" s="9" t="s">
        <v>566</v>
      </c>
      <c r="F30" s="9" t="s">
        <v>567</v>
      </c>
      <c r="G30" s="9" t="s">
        <v>581</v>
      </c>
      <c r="H30" s="9">
        <v>75</v>
      </c>
      <c r="I30" s="10" t="s">
        <v>582</v>
      </c>
      <c r="J30" s="10" t="s">
        <v>60</v>
      </c>
      <c r="K30" s="9">
        <v>0</v>
      </c>
      <c r="L30" s="10" t="s">
        <v>60</v>
      </c>
      <c r="M30" s="9">
        <v>0</v>
      </c>
      <c r="N30" s="9" t="s">
        <v>583</v>
      </c>
      <c r="O30" s="10" t="s">
        <v>584</v>
      </c>
      <c r="P30" s="10" t="s">
        <v>60</v>
      </c>
      <c r="Q30" s="9">
        <v>0</v>
      </c>
      <c r="R30" s="10"/>
      <c r="S30" s="10"/>
      <c r="T30" s="9" t="s">
        <v>585</v>
      </c>
      <c r="U30" s="9" t="s">
        <v>571</v>
      </c>
    </row>
    <row r="31" spans="1:21" ht="79.2" x14ac:dyDescent="0.3">
      <c r="A31" s="11" t="s">
        <v>586</v>
      </c>
      <c r="B31" s="12">
        <v>8</v>
      </c>
      <c r="C31" s="9" t="s">
        <v>238</v>
      </c>
      <c r="D31" s="9" t="s">
        <v>565</v>
      </c>
      <c r="E31" s="9" t="s">
        <v>566</v>
      </c>
      <c r="F31" s="9" t="s">
        <v>567</v>
      </c>
      <c r="G31" s="9" t="s">
        <v>587</v>
      </c>
      <c r="H31" s="9">
        <v>76</v>
      </c>
      <c r="I31" s="10" t="s">
        <v>588</v>
      </c>
      <c r="J31" s="10" t="s">
        <v>589</v>
      </c>
      <c r="K31" s="9">
        <v>2</v>
      </c>
      <c r="L31" s="10" t="s">
        <v>590</v>
      </c>
      <c r="M31" s="9">
        <v>4</v>
      </c>
      <c r="N31" s="9" t="s">
        <v>126</v>
      </c>
      <c r="O31" s="10" t="s">
        <v>538</v>
      </c>
      <c r="P31" s="10" t="s">
        <v>60</v>
      </c>
      <c r="Q31" s="9">
        <v>0</v>
      </c>
      <c r="R31" s="10"/>
      <c r="S31" s="10"/>
      <c r="T31" s="9"/>
      <c r="U31" s="9"/>
    </row>
    <row r="32" spans="1:21" ht="52.8" x14ac:dyDescent="0.3">
      <c r="A32" s="11" t="s">
        <v>159</v>
      </c>
      <c r="B32" s="12">
        <v>8</v>
      </c>
      <c r="C32" s="9" t="s">
        <v>238</v>
      </c>
      <c r="D32" s="9" t="s">
        <v>565</v>
      </c>
      <c r="E32" s="9" t="s">
        <v>566</v>
      </c>
      <c r="F32" s="9" t="s">
        <v>591</v>
      </c>
      <c r="G32" s="9" t="s">
        <v>592</v>
      </c>
      <c r="H32" s="9">
        <v>77</v>
      </c>
      <c r="I32" s="10" t="s">
        <v>593</v>
      </c>
      <c r="J32" s="10" t="s">
        <v>60</v>
      </c>
      <c r="K32" s="9">
        <v>0</v>
      </c>
      <c r="L32" s="10" t="s">
        <v>60</v>
      </c>
      <c r="M32" s="9">
        <v>0</v>
      </c>
      <c r="N32" s="9" t="s">
        <v>62</v>
      </c>
      <c r="O32" s="10" t="s">
        <v>594</v>
      </c>
      <c r="P32" s="10" t="s">
        <v>60</v>
      </c>
      <c r="Q32" s="9">
        <v>0</v>
      </c>
      <c r="R32" s="10"/>
      <c r="S32" s="10"/>
      <c r="T32" s="9" t="s">
        <v>153</v>
      </c>
      <c r="U32" s="9"/>
    </row>
    <row r="33" spans="1:21" ht="66" x14ac:dyDescent="0.3">
      <c r="A33" s="11" t="s">
        <v>166</v>
      </c>
      <c r="B33" s="12">
        <v>8</v>
      </c>
      <c r="C33" s="9" t="s">
        <v>238</v>
      </c>
      <c r="D33" s="9" t="s">
        <v>565</v>
      </c>
      <c r="E33" s="9" t="s">
        <v>566</v>
      </c>
      <c r="F33" s="9" t="s">
        <v>591</v>
      </c>
      <c r="G33" s="9" t="s">
        <v>595</v>
      </c>
      <c r="H33" s="9">
        <v>78</v>
      </c>
      <c r="I33" s="10" t="s">
        <v>596</v>
      </c>
      <c r="J33" s="10" t="s">
        <v>60</v>
      </c>
      <c r="K33" s="9">
        <v>0</v>
      </c>
      <c r="L33" s="10" t="s">
        <v>60</v>
      </c>
      <c r="M33" s="9">
        <v>0</v>
      </c>
      <c r="N33" s="9" t="s">
        <v>126</v>
      </c>
      <c r="O33" s="10" t="s">
        <v>538</v>
      </c>
      <c r="P33" s="10" t="s">
        <v>60</v>
      </c>
      <c r="Q33" s="9">
        <v>0</v>
      </c>
      <c r="R33" s="10"/>
      <c r="S33" s="10"/>
      <c r="T33" s="9" t="s">
        <v>160</v>
      </c>
      <c r="U33" s="9"/>
    </row>
    <row r="34" spans="1:21" ht="79.2" x14ac:dyDescent="0.3">
      <c r="A34" s="11" t="s">
        <v>597</v>
      </c>
      <c r="B34" s="12">
        <v>8</v>
      </c>
      <c r="C34" s="9" t="s">
        <v>238</v>
      </c>
      <c r="D34" s="9" t="s">
        <v>565</v>
      </c>
      <c r="E34" s="9" t="s">
        <v>566</v>
      </c>
      <c r="F34" s="9" t="s">
        <v>591</v>
      </c>
      <c r="G34" s="9" t="s">
        <v>598</v>
      </c>
      <c r="H34" s="9">
        <v>79</v>
      </c>
      <c r="I34" s="10" t="s">
        <v>599</v>
      </c>
      <c r="J34" s="10" t="s">
        <v>60</v>
      </c>
      <c r="K34" s="9">
        <v>0</v>
      </c>
      <c r="L34" s="10" t="s">
        <v>600</v>
      </c>
      <c r="M34" s="9">
        <v>2</v>
      </c>
      <c r="N34" s="9" t="s">
        <v>126</v>
      </c>
      <c r="O34" s="10" t="s">
        <v>601</v>
      </c>
      <c r="P34" s="10" t="s">
        <v>60</v>
      </c>
      <c r="Q34" s="9">
        <v>0</v>
      </c>
      <c r="R34" s="10" t="s">
        <v>602</v>
      </c>
      <c r="S34" s="10"/>
      <c r="T34" s="9"/>
      <c r="U34" s="9"/>
    </row>
    <row r="35" spans="1:21" ht="52.8" x14ac:dyDescent="0.3">
      <c r="A35" s="11" t="s">
        <v>173</v>
      </c>
      <c r="B35" s="12">
        <v>8</v>
      </c>
      <c r="C35" s="9" t="s">
        <v>238</v>
      </c>
      <c r="D35" s="9" t="s">
        <v>565</v>
      </c>
      <c r="E35" s="9" t="s">
        <v>566</v>
      </c>
      <c r="F35" s="9" t="s">
        <v>603</v>
      </c>
      <c r="G35" s="9" t="s">
        <v>604</v>
      </c>
      <c r="H35" s="9">
        <v>80</v>
      </c>
      <c r="I35" s="10" t="s">
        <v>605</v>
      </c>
      <c r="J35" s="10" t="s">
        <v>60</v>
      </c>
      <c r="K35" s="9">
        <v>0</v>
      </c>
      <c r="L35" s="10" t="s">
        <v>606</v>
      </c>
      <c r="M35" s="9">
        <v>2</v>
      </c>
      <c r="N35" s="9" t="s">
        <v>62</v>
      </c>
      <c r="O35" s="10" t="s">
        <v>607</v>
      </c>
      <c r="P35" s="10" t="s">
        <v>60</v>
      </c>
      <c r="Q35" s="9">
        <v>0</v>
      </c>
      <c r="R35" s="10"/>
      <c r="S35" s="10"/>
      <c r="T35" s="9" t="s">
        <v>167</v>
      </c>
      <c r="U35" s="9"/>
    </row>
    <row r="36" spans="1:21" ht="39.6" x14ac:dyDescent="0.3">
      <c r="A36" s="11" t="s">
        <v>608</v>
      </c>
      <c r="B36" s="12">
        <v>8</v>
      </c>
      <c r="C36" s="9" t="s">
        <v>238</v>
      </c>
      <c r="D36" s="9" t="s">
        <v>565</v>
      </c>
      <c r="E36" s="9" t="s">
        <v>566</v>
      </c>
      <c r="F36" s="9" t="s">
        <v>603</v>
      </c>
      <c r="G36" s="9" t="s">
        <v>609</v>
      </c>
      <c r="H36" s="9">
        <v>81</v>
      </c>
      <c r="I36" s="10" t="s">
        <v>610</v>
      </c>
      <c r="J36" s="10" t="s">
        <v>60</v>
      </c>
      <c r="K36" s="9">
        <v>0</v>
      </c>
      <c r="L36" s="10" t="s">
        <v>60</v>
      </c>
      <c r="M36" s="9">
        <v>0</v>
      </c>
      <c r="N36" s="9" t="s">
        <v>126</v>
      </c>
      <c r="O36" s="10" t="s">
        <v>611</v>
      </c>
      <c r="P36" s="10" t="s">
        <v>60</v>
      </c>
      <c r="Q36" s="9">
        <v>0</v>
      </c>
      <c r="R36" s="10"/>
      <c r="S36" s="10"/>
      <c r="T36" s="9"/>
      <c r="U36" s="9"/>
    </row>
    <row r="37" spans="1:21" ht="66" x14ac:dyDescent="0.3">
      <c r="A37" s="11" t="s">
        <v>612</v>
      </c>
      <c r="B37" s="12">
        <v>8</v>
      </c>
      <c r="C37" s="9" t="s">
        <v>238</v>
      </c>
      <c r="D37" s="9" t="s">
        <v>565</v>
      </c>
      <c r="E37" s="9" t="s">
        <v>566</v>
      </c>
      <c r="F37" s="9" t="s">
        <v>603</v>
      </c>
      <c r="G37" s="9" t="s">
        <v>613</v>
      </c>
      <c r="H37" s="9">
        <v>82</v>
      </c>
      <c r="I37" s="10" t="s">
        <v>614</v>
      </c>
      <c r="J37" s="10" t="s">
        <v>60</v>
      </c>
      <c r="K37" s="9">
        <v>0</v>
      </c>
      <c r="L37" s="10" t="s">
        <v>615</v>
      </c>
      <c r="M37" s="9">
        <v>2</v>
      </c>
      <c r="N37" s="9" t="s">
        <v>126</v>
      </c>
      <c r="O37" s="10" t="s">
        <v>538</v>
      </c>
      <c r="P37" s="10" t="s">
        <v>60</v>
      </c>
      <c r="Q37" s="9">
        <v>0</v>
      </c>
      <c r="R37" s="10" t="s">
        <v>616</v>
      </c>
      <c r="S37" s="10"/>
      <c r="T37" s="9"/>
      <c r="U37" s="9"/>
    </row>
    <row r="38" spans="1:21" ht="26.4" x14ac:dyDescent="0.3">
      <c r="A38" s="11" t="s">
        <v>617</v>
      </c>
      <c r="B38" s="12">
        <v>8</v>
      </c>
      <c r="C38" s="9" t="s">
        <v>238</v>
      </c>
      <c r="D38" s="9" t="s">
        <v>565</v>
      </c>
      <c r="E38" s="9" t="s">
        <v>566</v>
      </c>
      <c r="F38" s="9" t="s">
        <v>618</v>
      </c>
      <c r="G38" s="9" t="s">
        <v>619</v>
      </c>
      <c r="H38" s="9">
        <v>83</v>
      </c>
      <c r="I38" s="10" t="s">
        <v>620</v>
      </c>
      <c r="J38" s="10" t="s">
        <v>60</v>
      </c>
      <c r="K38" s="9">
        <v>0</v>
      </c>
      <c r="L38" s="10" t="s">
        <v>60</v>
      </c>
      <c r="M38" s="9">
        <v>0</v>
      </c>
      <c r="N38" s="9" t="s">
        <v>76</v>
      </c>
      <c r="O38" s="10" t="s">
        <v>621</v>
      </c>
      <c r="P38" s="10" t="s">
        <v>60</v>
      </c>
      <c r="Q38" s="9">
        <v>0</v>
      </c>
      <c r="R38" s="10"/>
      <c r="S38" s="10"/>
      <c r="T38" s="9"/>
      <c r="U38" s="9"/>
    </row>
    <row r="39" spans="1:21" ht="66" x14ac:dyDescent="0.3">
      <c r="A39" s="11" t="s">
        <v>622</v>
      </c>
      <c r="B39" s="12">
        <v>8</v>
      </c>
      <c r="C39" s="9" t="s">
        <v>238</v>
      </c>
      <c r="D39" s="9" t="s">
        <v>565</v>
      </c>
      <c r="E39" s="9" t="s">
        <v>566</v>
      </c>
      <c r="F39" s="9" t="s">
        <v>618</v>
      </c>
      <c r="G39" s="9" t="s">
        <v>623</v>
      </c>
      <c r="H39" s="9">
        <v>84</v>
      </c>
      <c r="I39" s="10" t="s">
        <v>624</v>
      </c>
      <c r="J39" s="10" t="s">
        <v>625</v>
      </c>
      <c r="K39" s="9">
        <v>3</v>
      </c>
      <c r="L39" s="10" t="s">
        <v>626</v>
      </c>
      <c r="M39" s="9">
        <v>4</v>
      </c>
      <c r="N39" s="9" t="s">
        <v>62</v>
      </c>
      <c r="O39" s="10" t="s">
        <v>607</v>
      </c>
      <c r="P39" s="10" t="s">
        <v>60</v>
      </c>
      <c r="Q39" s="9">
        <v>0</v>
      </c>
      <c r="R39" s="10"/>
      <c r="S39" s="10"/>
      <c r="T39" s="9" t="s">
        <v>302</v>
      </c>
      <c r="U39" s="9" t="s">
        <v>627</v>
      </c>
    </row>
    <row r="40" spans="1:21" ht="52.8" x14ac:dyDescent="0.3">
      <c r="A40" s="11" t="s">
        <v>628</v>
      </c>
      <c r="B40" s="12">
        <v>8</v>
      </c>
      <c r="C40" s="9" t="s">
        <v>238</v>
      </c>
      <c r="D40" s="9" t="s">
        <v>565</v>
      </c>
      <c r="E40" s="9" t="s">
        <v>566</v>
      </c>
      <c r="F40" s="9" t="s">
        <v>618</v>
      </c>
      <c r="G40" s="9" t="s">
        <v>629</v>
      </c>
      <c r="H40" s="9">
        <v>85</v>
      </c>
      <c r="I40" s="10" t="s">
        <v>630</v>
      </c>
      <c r="J40" s="10" t="s">
        <v>631</v>
      </c>
      <c r="K40" s="9">
        <v>3</v>
      </c>
      <c r="L40" s="10" t="s">
        <v>632</v>
      </c>
      <c r="M40" s="9">
        <v>4</v>
      </c>
      <c r="N40" s="9" t="s">
        <v>62</v>
      </c>
      <c r="O40" s="10" t="s">
        <v>607</v>
      </c>
      <c r="P40" s="10" t="s">
        <v>60</v>
      </c>
      <c r="Q40" s="9">
        <v>0</v>
      </c>
      <c r="R40" s="10"/>
      <c r="S40" s="10"/>
      <c r="T40" s="9" t="s">
        <v>309</v>
      </c>
      <c r="U40" s="9" t="s">
        <v>627</v>
      </c>
    </row>
    <row r="41" spans="1:21" ht="52.8" x14ac:dyDescent="0.3">
      <c r="A41" s="11" t="s">
        <v>633</v>
      </c>
      <c r="B41" s="12">
        <v>8</v>
      </c>
      <c r="C41" s="9" t="s">
        <v>238</v>
      </c>
      <c r="D41" s="9" t="s">
        <v>565</v>
      </c>
      <c r="E41" s="9" t="s">
        <v>566</v>
      </c>
      <c r="F41" s="9" t="s">
        <v>618</v>
      </c>
      <c r="G41" s="9" t="s">
        <v>634</v>
      </c>
      <c r="H41" s="9">
        <v>86</v>
      </c>
      <c r="I41" s="10" t="s">
        <v>635</v>
      </c>
      <c r="J41" s="10" t="s">
        <v>60</v>
      </c>
      <c r="K41" s="9">
        <v>0</v>
      </c>
      <c r="L41" s="10" t="s">
        <v>636</v>
      </c>
      <c r="M41" s="9">
        <v>3</v>
      </c>
      <c r="N41" s="9" t="s">
        <v>126</v>
      </c>
      <c r="O41" s="10" t="s">
        <v>637</v>
      </c>
      <c r="P41" s="10" t="s">
        <v>638</v>
      </c>
      <c r="Q41" s="9">
        <v>2</v>
      </c>
      <c r="R41" s="10"/>
      <c r="S41" s="10"/>
      <c r="T41" s="9" t="s">
        <v>294</v>
      </c>
      <c r="U41" s="9" t="s">
        <v>627</v>
      </c>
    </row>
    <row r="42" spans="1:21" ht="66" x14ac:dyDescent="0.3">
      <c r="A42" s="11" t="s">
        <v>639</v>
      </c>
      <c r="B42" s="12">
        <v>8</v>
      </c>
      <c r="C42" s="9" t="s">
        <v>238</v>
      </c>
      <c r="D42" s="9" t="s">
        <v>565</v>
      </c>
      <c r="E42" s="9" t="s">
        <v>566</v>
      </c>
      <c r="F42" s="9" t="s">
        <v>640</v>
      </c>
      <c r="G42" s="9" t="s">
        <v>641</v>
      </c>
      <c r="H42" s="9">
        <v>87</v>
      </c>
      <c r="I42" s="10" t="s">
        <v>642</v>
      </c>
      <c r="J42" s="10" t="s">
        <v>643</v>
      </c>
      <c r="K42" s="9">
        <v>5</v>
      </c>
      <c r="L42" s="10" t="s">
        <v>644</v>
      </c>
      <c r="M42" s="9">
        <v>3</v>
      </c>
      <c r="N42" s="9" t="s">
        <v>62</v>
      </c>
      <c r="O42" s="10" t="s">
        <v>645</v>
      </c>
      <c r="P42" s="10" t="s">
        <v>60</v>
      </c>
      <c r="Q42" s="9">
        <v>0</v>
      </c>
      <c r="R42" s="10"/>
      <c r="S42" s="10"/>
      <c r="T42" s="9"/>
      <c r="U42" s="9"/>
    </row>
    <row r="43" spans="1:21" ht="52.8" x14ac:dyDescent="0.3">
      <c r="A43" s="11" t="s">
        <v>646</v>
      </c>
      <c r="B43" s="12">
        <v>8</v>
      </c>
      <c r="C43" s="9" t="s">
        <v>238</v>
      </c>
      <c r="D43" s="9" t="s">
        <v>565</v>
      </c>
      <c r="E43" s="9" t="s">
        <v>566</v>
      </c>
      <c r="F43" s="9" t="s">
        <v>640</v>
      </c>
      <c r="G43" s="9" t="s">
        <v>647</v>
      </c>
      <c r="H43" s="9">
        <v>88</v>
      </c>
      <c r="I43" s="10" t="s">
        <v>648</v>
      </c>
      <c r="J43" s="10" t="s">
        <v>60</v>
      </c>
      <c r="K43" s="9">
        <v>0</v>
      </c>
      <c r="L43" s="10" t="s">
        <v>60</v>
      </c>
      <c r="M43" s="9">
        <v>0</v>
      </c>
      <c r="N43" s="9" t="s">
        <v>126</v>
      </c>
      <c r="O43" s="10" t="s">
        <v>649</v>
      </c>
      <c r="P43" s="10" t="s">
        <v>60</v>
      </c>
      <c r="Q43" s="9">
        <v>0</v>
      </c>
      <c r="R43" s="10"/>
      <c r="S43" s="10"/>
      <c r="T43" s="9"/>
      <c r="U43" s="9"/>
    </row>
    <row r="44" spans="1:21" ht="66" x14ac:dyDescent="0.3">
      <c r="A44" s="11" t="s">
        <v>650</v>
      </c>
      <c r="B44" s="12">
        <v>8</v>
      </c>
      <c r="C44" s="9" t="s">
        <v>238</v>
      </c>
      <c r="D44" s="9" t="s">
        <v>565</v>
      </c>
      <c r="E44" s="9" t="s">
        <v>566</v>
      </c>
      <c r="F44" s="9" t="s">
        <v>640</v>
      </c>
      <c r="G44" s="9" t="s">
        <v>651</v>
      </c>
      <c r="H44" s="9">
        <v>89</v>
      </c>
      <c r="I44" s="10" t="s">
        <v>652</v>
      </c>
      <c r="J44" s="10" t="s">
        <v>60</v>
      </c>
      <c r="K44" s="9">
        <v>0</v>
      </c>
      <c r="L44" s="10" t="s">
        <v>60</v>
      </c>
      <c r="M44" s="9">
        <v>0</v>
      </c>
      <c r="N44" s="9" t="s">
        <v>62</v>
      </c>
      <c r="O44" s="10" t="s">
        <v>653</v>
      </c>
      <c r="P44" s="10" t="s">
        <v>654</v>
      </c>
      <c r="Q44" s="9">
        <v>2</v>
      </c>
      <c r="R44" s="10"/>
      <c r="S44" s="10"/>
      <c r="T44" s="9"/>
      <c r="U44" s="9" t="s">
        <v>655</v>
      </c>
    </row>
    <row r="45" spans="1:21" ht="39.6" x14ac:dyDescent="0.3">
      <c r="A45" s="11" t="s">
        <v>656</v>
      </c>
      <c r="B45" s="12">
        <v>8</v>
      </c>
      <c r="C45" s="9" t="s">
        <v>238</v>
      </c>
      <c r="D45" s="9" t="s">
        <v>565</v>
      </c>
      <c r="E45" s="9" t="s">
        <v>566</v>
      </c>
      <c r="F45" s="9" t="s">
        <v>640</v>
      </c>
      <c r="G45" s="9" t="s">
        <v>657</v>
      </c>
      <c r="H45" s="9">
        <v>90</v>
      </c>
      <c r="I45" s="10" t="s">
        <v>658</v>
      </c>
      <c r="J45" s="10" t="s">
        <v>659</v>
      </c>
      <c r="K45" s="9">
        <v>3</v>
      </c>
      <c r="L45" s="10" t="s">
        <v>660</v>
      </c>
      <c r="M45" s="9">
        <v>3</v>
      </c>
      <c r="N45" s="9" t="s">
        <v>62</v>
      </c>
      <c r="O45" s="10" t="s">
        <v>661</v>
      </c>
      <c r="P45" s="10" t="s">
        <v>662</v>
      </c>
      <c r="Q45" s="9">
        <v>1</v>
      </c>
      <c r="R45" s="10"/>
      <c r="S45" s="10"/>
      <c r="T45" s="9"/>
      <c r="U45" s="9" t="s">
        <v>663</v>
      </c>
    </row>
    <row r="46" spans="1:21" ht="39.6" x14ac:dyDescent="0.3">
      <c r="A46" s="11" t="s">
        <v>664</v>
      </c>
      <c r="B46" s="12">
        <v>8</v>
      </c>
      <c r="C46" s="9" t="s">
        <v>238</v>
      </c>
      <c r="D46" s="9" t="s">
        <v>565</v>
      </c>
      <c r="E46" s="9" t="s">
        <v>566</v>
      </c>
      <c r="F46" s="9" t="s">
        <v>640</v>
      </c>
      <c r="G46" s="9" t="s">
        <v>665</v>
      </c>
      <c r="H46" s="9">
        <v>91</v>
      </c>
      <c r="I46" s="10" t="s">
        <v>666</v>
      </c>
      <c r="J46" s="10" t="s">
        <v>60</v>
      </c>
      <c r="K46" s="9">
        <v>0</v>
      </c>
      <c r="L46" s="10" t="s">
        <v>60</v>
      </c>
      <c r="M46" s="9">
        <v>0</v>
      </c>
      <c r="N46" s="9" t="s">
        <v>101</v>
      </c>
      <c r="O46" s="10" t="s">
        <v>667</v>
      </c>
      <c r="P46" s="10" t="s">
        <v>60</v>
      </c>
      <c r="Q46" s="9">
        <v>0</v>
      </c>
      <c r="R46" s="10"/>
      <c r="S46" s="10"/>
      <c r="T46" s="9"/>
      <c r="U46" s="9" t="s">
        <v>668</v>
      </c>
    </row>
    <row r="47" spans="1:21" ht="26.4" x14ac:dyDescent="0.3">
      <c r="A47" s="11" t="s">
        <v>669</v>
      </c>
      <c r="B47" s="12">
        <v>8</v>
      </c>
      <c r="C47" s="9" t="s">
        <v>238</v>
      </c>
      <c r="D47" s="9" t="s">
        <v>565</v>
      </c>
      <c r="E47" s="9" t="s">
        <v>566</v>
      </c>
      <c r="F47" s="9" t="s">
        <v>670</v>
      </c>
      <c r="G47" s="9" t="s">
        <v>671</v>
      </c>
      <c r="H47" s="9">
        <v>92</v>
      </c>
      <c r="I47" s="10" t="s">
        <v>672</v>
      </c>
      <c r="J47" s="10" t="s">
        <v>60</v>
      </c>
      <c r="K47" s="9">
        <v>0</v>
      </c>
      <c r="L47" s="10" t="s">
        <v>60</v>
      </c>
      <c r="M47" s="9">
        <v>0</v>
      </c>
      <c r="N47" s="9" t="s">
        <v>76</v>
      </c>
      <c r="O47" s="10" t="s">
        <v>621</v>
      </c>
      <c r="P47" s="10" t="s">
        <v>673</v>
      </c>
      <c r="Q47" s="9">
        <v>1</v>
      </c>
      <c r="R47" s="10"/>
      <c r="S47" s="10"/>
      <c r="T47" s="9"/>
      <c r="U47" s="9"/>
    </row>
    <row r="48" spans="1:21" ht="52.8" x14ac:dyDescent="0.3">
      <c r="A48" s="11" t="s">
        <v>674</v>
      </c>
      <c r="B48" s="12">
        <v>8</v>
      </c>
      <c r="C48" s="9" t="s">
        <v>238</v>
      </c>
      <c r="D48" s="9" t="s">
        <v>565</v>
      </c>
      <c r="E48" s="9" t="s">
        <v>566</v>
      </c>
      <c r="F48" s="9" t="s">
        <v>670</v>
      </c>
      <c r="G48" s="9" t="s">
        <v>675</v>
      </c>
      <c r="H48" s="9">
        <v>93</v>
      </c>
      <c r="I48" s="10" t="s">
        <v>676</v>
      </c>
      <c r="J48" s="10" t="s">
        <v>60</v>
      </c>
      <c r="K48" s="9">
        <v>0</v>
      </c>
      <c r="L48" s="10" t="s">
        <v>60</v>
      </c>
      <c r="M48" s="9">
        <v>0</v>
      </c>
      <c r="N48" s="9" t="s">
        <v>76</v>
      </c>
      <c r="O48" s="10" t="s">
        <v>677</v>
      </c>
      <c r="P48" s="10" t="s">
        <v>60</v>
      </c>
      <c r="Q48" s="9">
        <v>0</v>
      </c>
      <c r="R48" s="10"/>
      <c r="S48" s="10"/>
      <c r="T48" s="9"/>
      <c r="U48" s="9"/>
    </row>
    <row r="49" spans="1:21" ht="39.6" x14ac:dyDescent="0.3">
      <c r="A49" s="11" t="s">
        <v>678</v>
      </c>
      <c r="B49" s="12">
        <v>8</v>
      </c>
      <c r="C49" s="9" t="s">
        <v>238</v>
      </c>
      <c r="D49" s="9" t="s">
        <v>565</v>
      </c>
      <c r="E49" s="9" t="s">
        <v>566</v>
      </c>
      <c r="F49" s="9" t="s">
        <v>670</v>
      </c>
      <c r="G49" s="9" t="s">
        <v>679</v>
      </c>
      <c r="H49" s="9">
        <v>94</v>
      </c>
      <c r="I49" s="10" t="s">
        <v>680</v>
      </c>
      <c r="J49" s="10" t="s">
        <v>60</v>
      </c>
      <c r="K49" s="9">
        <v>0</v>
      </c>
      <c r="L49" s="10" t="s">
        <v>60</v>
      </c>
      <c r="M49" s="9">
        <v>0</v>
      </c>
      <c r="N49" s="9" t="s">
        <v>76</v>
      </c>
      <c r="O49" s="10" t="s">
        <v>621</v>
      </c>
      <c r="P49" s="10" t="s">
        <v>60</v>
      </c>
      <c r="Q49" s="9">
        <v>0</v>
      </c>
      <c r="R49" s="10"/>
      <c r="S49" s="10"/>
      <c r="T49" s="9"/>
      <c r="U49" s="9"/>
    </row>
    <row r="50" spans="1:21" ht="66" x14ac:dyDescent="0.3">
      <c r="A50" s="11" t="s">
        <v>681</v>
      </c>
      <c r="B50" s="12">
        <v>8</v>
      </c>
      <c r="C50" s="9" t="s">
        <v>238</v>
      </c>
      <c r="D50" s="9" t="s">
        <v>565</v>
      </c>
      <c r="E50" s="9" t="s">
        <v>566</v>
      </c>
      <c r="F50" s="9" t="s">
        <v>670</v>
      </c>
      <c r="G50" s="9" t="s">
        <v>682</v>
      </c>
      <c r="H50" s="9">
        <v>95</v>
      </c>
      <c r="I50" s="10" t="s">
        <v>683</v>
      </c>
      <c r="J50" s="10" t="s">
        <v>684</v>
      </c>
      <c r="K50" s="9">
        <v>4</v>
      </c>
      <c r="L50" s="10" t="s">
        <v>685</v>
      </c>
      <c r="M50" s="9">
        <v>4</v>
      </c>
      <c r="N50" s="9" t="s">
        <v>62</v>
      </c>
      <c r="O50" s="10" t="s">
        <v>686</v>
      </c>
      <c r="P50" s="10" t="s">
        <v>687</v>
      </c>
      <c r="Q50" s="9">
        <v>3</v>
      </c>
      <c r="R50" s="10"/>
      <c r="S50" s="10"/>
      <c r="T50" s="9"/>
      <c r="U50" s="9" t="s">
        <v>688</v>
      </c>
    </row>
  </sheetData>
  <autoFilter ref="A1:U50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7" customWidth="1"/>
    <col min="3" max="4" width="12" customWidth="1"/>
    <col min="5" max="5" width="30" customWidth="1"/>
    <col min="6" max="6" width="32" customWidth="1"/>
    <col min="7" max="7" width="38" customWidth="1"/>
    <col min="8" max="8" width="9" customWidth="1"/>
    <col min="9" max="10" width="70" customWidth="1"/>
    <col min="11" max="11" width="9" customWidth="1"/>
    <col min="12" max="12" width="70" customWidth="1"/>
    <col min="13" max="13" width="9" customWidth="1"/>
    <col min="14" max="14" width="14" customWidth="1"/>
    <col min="15" max="15" width="55" customWidth="1"/>
    <col min="16" max="16" width="60" customWidth="1"/>
    <col min="17" max="17" width="9" customWidth="1"/>
    <col min="18" max="18" width="50" customWidth="1"/>
    <col min="19" max="19" width="45" customWidth="1"/>
    <col min="20" max="21" width="26" customWidth="1"/>
  </cols>
  <sheetData>
    <row r="1" spans="1:21" ht="30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</row>
    <row r="2" spans="1:21" ht="39.6" x14ac:dyDescent="0.3">
      <c r="A2" s="13" t="s">
        <v>689</v>
      </c>
      <c r="B2" s="14">
        <v>9</v>
      </c>
      <c r="C2" s="9" t="s">
        <v>54</v>
      </c>
      <c r="D2" s="9" t="s">
        <v>55</v>
      </c>
      <c r="E2" s="9" t="s">
        <v>690</v>
      </c>
      <c r="F2" s="9" t="s">
        <v>691</v>
      </c>
      <c r="G2" s="9" t="s">
        <v>691</v>
      </c>
      <c r="H2" s="9">
        <v>96</v>
      </c>
      <c r="I2" s="10" t="s">
        <v>692</v>
      </c>
      <c r="J2" s="10" t="s">
        <v>693</v>
      </c>
      <c r="K2" s="9">
        <v>2</v>
      </c>
      <c r="L2" s="10" t="s">
        <v>694</v>
      </c>
      <c r="M2" s="9">
        <v>3</v>
      </c>
      <c r="N2" s="9" t="s">
        <v>76</v>
      </c>
      <c r="O2" s="10" t="s">
        <v>621</v>
      </c>
      <c r="P2" s="10" t="s">
        <v>60</v>
      </c>
      <c r="Q2" s="9">
        <v>0</v>
      </c>
      <c r="R2" s="10"/>
      <c r="S2" s="10"/>
      <c r="T2" s="9"/>
      <c r="U2" s="9"/>
    </row>
    <row r="3" spans="1:21" ht="79.2" x14ac:dyDescent="0.3">
      <c r="A3" s="13" t="s">
        <v>695</v>
      </c>
      <c r="B3" s="14">
        <v>9</v>
      </c>
      <c r="C3" s="9" t="s">
        <v>54</v>
      </c>
      <c r="D3" s="9" t="s">
        <v>55</v>
      </c>
      <c r="E3" s="9" t="s">
        <v>690</v>
      </c>
      <c r="F3" s="9" t="s">
        <v>696</v>
      </c>
      <c r="G3" s="9" t="s">
        <v>696</v>
      </c>
      <c r="H3" s="9">
        <v>97</v>
      </c>
      <c r="I3" s="10" t="s">
        <v>697</v>
      </c>
      <c r="J3" s="10" t="s">
        <v>698</v>
      </c>
      <c r="K3" s="9">
        <v>5</v>
      </c>
      <c r="L3" s="10" t="s">
        <v>699</v>
      </c>
      <c r="M3" s="9">
        <v>4</v>
      </c>
      <c r="N3" s="9" t="s">
        <v>62</v>
      </c>
      <c r="O3" s="10" t="s">
        <v>700</v>
      </c>
      <c r="P3" s="10" t="s">
        <v>701</v>
      </c>
      <c r="Q3" s="9">
        <v>2</v>
      </c>
      <c r="R3" s="10"/>
      <c r="S3" s="10"/>
      <c r="T3" s="9"/>
      <c r="U3" s="9"/>
    </row>
    <row r="4" spans="1:21" ht="52.8" x14ac:dyDescent="0.3">
      <c r="A4" s="13" t="s">
        <v>702</v>
      </c>
      <c r="B4" s="14">
        <v>9</v>
      </c>
      <c r="C4" s="9" t="s">
        <v>54</v>
      </c>
      <c r="D4" s="9" t="s">
        <v>55</v>
      </c>
      <c r="E4" s="9" t="s">
        <v>690</v>
      </c>
      <c r="F4" s="9" t="s">
        <v>703</v>
      </c>
      <c r="G4" s="9" t="s">
        <v>703</v>
      </c>
      <c r="H4" s="9">
        <v>98</v>
      </c>
      <c r="I4" s="10" t="s">
        <v>704</v>
      </c>
      <c r="J4" s="10" t="s">
        <v>705</v>
      </c>
      <c r="K4" s="9">
        <v>2</v>
      </c>
      <c r="L4" s="10" t="s">
        <v>706</v>
      </c>
      <c r="M4" s="9">
        <v>4</v>
      </c>
      <c r="N4" s="9" t="s">
        <v>62</v>
      </c>
      <c r="O4" s="10" t="s">
        <v>707</v>
      </c>
      <c r="P4" s="10" t="s">
        <v>708</v>
      </c>
      <c r="Q4" s="9">
        <v>1</v>
      </c>
      <c r="R4" s="10"/>
      <c r="S4" s="10"/>
      <c r="T4" s="9"/>
      <c r="U4" s="9"/>
    </row>
    <row r="5" spans="1:21" ht="66" x14ac:dyDescent="0.3">
      <c r="A5" s="13" t="s">
        <v>709</v>
      </c>
      <c r="B5" s="14">
        <v>9</v>
      </c>
      <c r="C5" s="9" t="s">
        <v>54</v>
      </c>
      <c r="D5" s="9" t="s">
        <v>55</v>
      </c>
      <c r="E5" s="9" t="s">
        <v>690</v>
      </c>
      <c r="F5" s="9" t="s">
        <v>710</v>
      </c>
      <c r="G5" s="9" t="s">
        <v>710</v>
      </c>
      <c r="H5" s="9">
        <v>99</v>
      </c>
      <c r="I5" s="10" t="s">
        <v>711</v>
      </c>
      <c r="J5" s="10" t="s">
        <v>712</v>
      </c>
      <c r="K5" s="9">
        <v>2</v>
      </c>
      <c r="L5" s="10" t="s">
        <v>713</v>
      </c>
      <c r="M5" s="9">
        <v>5</v>
      </c>
      <c r="N5" s="9" t="s">
        <v>62</v>
      </c>
      <c r="O5" s="10" t="s">
        <v>714</v>
      </c>
      <c r="P5" s="10" t="s">
        <v>715</v>
      </c>
      <c r="Q5" s="9">
        <v>2</v>
      </c>
      <c r="R5" s="10" t="s">
        <v>716</v>
      </c>
      <c r="S5" s="10"/>
      <c r="T5" s="9"/>
      <c r="U5" s="9"/>
    </row>
    <row r="6" spans="1:21" ht="52.8" x14ac:dyDescent="0.3">
      <c r="A6" s="13" t="s">
        <v>717</v>
      </c>
      <c r="B6" s="14">
        <v>9</v>
      </c>
      <c r="C6" s="9" t="s">
        <v>54</v>
      </c>
      <c r="D6" s="9" t="s">
        <v>55</v>
      </c>
      <c r="E6" s="9" t="s">
        <v>690</v>
      </c>
      <c r="F6" s="9" t="s">
        <v>718</v>
      </c>
      <c r="G6" s="9" t="s">
        <v>718</v>
      </c>
      <c r="H6" s="9">
        <v>100</v>
      </c>
      <c r="I6" s="10" t="s">
        <v>719</v>
      </c>
      <c r="J6" s="10" t="s">
        <v>720</v>
      </c>
      <c r="K6" s="9">
        <v>3</v>
      </c>
      <c r="L6" s="10" t="s">
        <v>721</v>
      </c>
      <c r="M6" s="9">
        <v>3</v>
      </c>
      <c r="N6" s="9" t="s">
        <v>126</v>
      </c>
      <c r="O6" s="10" t="s">
        <v>538</v>
      </c>
      <c r="P6" s="10" t="s">
        <v>60</v>
      </c>
      <c r="Q6" s="9">
        <v>0</v>
      </c>
      <c r="R6" s="10"/>
      <c r="S6" s="10"/>
      <c r="T6" s="9"/>
      <c r="U6" s="9"/>
    </row>
    <row r="7" spans="1:21" ht="66" x14ac:dyDescent="0.3">
      <c r="A7" s="13" t="s">
        <v>722</v>
      </c>
      <c r="B7" s="14">
        <v>9</v>
      </c>
      <c r="C7" s="9" t="s">
        <v>54</v>
      </c>
      <c r="D7" s="9" t="s">
        <v>55</v>
      </c>
      <c r="E7" s="9" t="s">
        <v>690</v>
      </c>
      <c r="F7" s="9" t="s">
        <v>723</v>
      </c>
      <c r="G7" s="9" t="s">
        <v>723</v>
      </c>
      <c r="H7" s="9">
        <v>101</v>
      </c>
      <c r="I7" s="10" t="s">
        <v>724</v>
      </c>
      <c r="J7" s="10" t="s">
        <v>60</v>
      </c>
      <c r="K7" s="9">
        <v>0</v>
      </c>
      <c r="L7" s="10" t="s">
        <v>725</v>
      </c>
      <c r="M7" s="9">
        <v>3</v>
      </c>
      <c r="N7" s="9" t="s">
        <v>62</v>
      </c>
      <c r="O7" s="10" t="s">
        <v>726</v>
      </c>
      <c r="P7" s="10" t="s">
        <v>60</v>
      </c>
      <c r="Q7" s="9">
        <v>0</v>
      </c>
      <c r="R7" s="10"/>
      <c r="S7" s="10"/>
      <c r="T7" s="9"/>
      <c r="U7" s="9"/>
    </row>
    <row r="8" spans="1:21" ht="66" x14ac:dyDescent="0.3">
      <c r="A8" s="13" t="s">
        <v>727</v>
      </c>
      <c r="B8" s="14">
        <v>9</v>
      </c>
      <c r="C8" s="9" t="s">
        <v>54</v>
      </c>
      <c r="D8" s="9" t="s">
        <v>55</v>
      </c>
      <c r="E8" s="9" t="s">
        <v>690</v>
      </c>
      <c r="F8" s="9" t="s">
        <v>728</v>
      </c>
      <c r="G8" s="9" t="s">
        <v>728</v>
      </c>
      <c r="H8" s="9">
        <v>102</v>
      </c>
      <c r="I8" s="10" t="s">
        <v>729</v>
      </c>
      <c r="J8" s="10" t="s">
        <v>60</v>
      </c>
      <c r="K8" s="9">
        <v>0</v>
      </c>
      <c r="L8" s="10" t="s">
        <v>730</v>
      </c>
      <c r="M8" s="9">
        <v>3</v>
      </c>
      <c r="N8" s="9" t="s">
        <v>62</v>
      </c>
      <c r="O8" s="10" t="s">
        <v>731</v>
      </c>
      <c r="P8" s="10" t="s">
        <v>60</v>
      </c>
      <c r="Q8" s="9">
        <v>0</v>
      </c>
      <c r="R8" s="10" t="s">
        <v>732</v>
      </c>
      <c r="S8" s="10"/>
      <c r="T8" s="9"/>
      <c r="U8" s="9"/>
    </row>
    <row r="9" spans="1:21" ht="92.4" x14ac:dyDescent="0.3">
      <c r="A9" s="13" t="s">
        <v>733</v>
      </c>
      <c r="B9" s="14">
        <v>9</v>
      </c>
      <c r="C9" s="9" t="s">
        <v>54</v>
      </c>
      <c r="D9" s="9" t="s">
        <v>381</v>
      </c>
      <c r="E9" s="9" t="s">
        <v>734</v>
      </c>
      <c r="F9" s="9" t="s">
        <v>735</v>
      </c>
      <c r="G9" s="9" t="s">
        <v>735</v>
      </c>
      <c r="H9" s="9">
        <v>103</v>
      </c>
      <c r="I9" s="10" t="s">
        <v>736</v>
      </c>
      <c r="J9" s="10" t="s">
        <v>737</v>
      </c>
      <c r="K9" s="9">
        <v>5</v>
      </c>
      <c r="L9" s="10" t="s">
        <v>738</v>
      </c>
      <c r="M9" s="9">
        <v>3</v>
      </c>
      <c r="N9" s="9" t="s">
        <v>62</v>
      </c>
      <c r="O9" s="10" t="s">
        <v>739</v>
      </c>
      <c r="P9" s="10" t="s">
        <v>740</v>
      </c>
      <c r="Q9" s="9">
        <v>2</v>
      </c>
      <c r="R9" s="10"/>
      <c r="S9" s="10"/>
      <c r="T9" s="9"/>
      <c r="U9" s="9"/>
    </row>
    <row r="10" spans="1:21" ht="66" x14ac:dyDescent="0.3">
      <c r="A10" s="13" t="s">
        <v>741</v>
      </c>
      <c r="B10" s="14">
        <v>9</v>
      </c>
      <c r="C10" s="9" t="s">
        <v>54</v>
      </c>
      <c r="D10" s="9" t="s">
        <v>381</v>
      </c>
      <c r="E10" s="9" t="s">
        <v>734</v>
      </c>
      <c r="F10" s="9" t="s">
        <v>742</v>
      </c>
      <c r="G10" s="9" t="s">
        <v>743</v>
      </c>
      <c r="H10" s="9">
        <v>104</v>
      </c>
      <c r="I10" s="10" t="s">
        <v>744</v>
      </c>
      <c r="J10" s="10" t="s">
        <v>60</v>
      </c>
      <c r="K10" s="9">
        <v>0</v>
      </c>
      <c r="L10" s="10" t="s">
        <v>745</v>
      </c>
      <c r="M10" s="9">
        <v>2</v>
      </c>
      <c r="N10" s="9" t="s">
        <v>76</v>
      </c>
      <c r="O10" s="10" t="s">
        <v>746</v>
      </c>
      <c r="P10" s="10" t="s">
        <v>60</v>
      </c>
      <c r="Q10" s="9">
        <v>0</v>
      </c>
      <c r="R10" s="10"/>
      <c r="S10" s="10"/>
      <c r="T10" s="9"/>
      <c r="U10" s="9"/>
    </row>
    <row r="11" spans="1:21" ht="39.6" x14ac:dyDescent="0.3">
      <c r="A11" s="13" t="s">
        <v>747</v>
      </c>
      <c r="B11" s="14">
        <v>9</v>
      </c>
      <c r="C11" s="9" t="s">
        <v>54</v>
      </c>
      <c r="D11" s="9" t="s">
        <v>381</v>
      </c>
      <c r="E11" s="9" t="s">
        <v>734</v>
      </c>
      <c r="F11" s="9" t="s">
        <v>742</v>
      </c>
      <c r="G11" s="9" t="s">
        <v>748</v>
      </c>
      <c r="H11" s="9">
        <v>105</v>
      </c>
      <c r="I11" s="10" t="s">
        <v>749</v>
      </c>
      <c r="J11" s="10" t="s">
        <v>750</v>
      </c>
      <c r="K11" s="9">
        <v>3</v>
      </c>
      <c r="L11" s="10" t="s">
        <v>751</v>
      </c>
      <c r="M11" s="9">
        <v>3</v>
      </c>
      <c r="N11" s="9" t="s">
        <v>62</v>
      </c>
      <c r="O11" s="10" t="s">
        <v>752</v>
      </c>
      <c r="P11" s="10" t="s">
        <v>60</v>
      </c>
      <c r="Q11" s="9">
        <v>0</v>
      </c>
      <c r="R11" s="10"/>
      <c r="S11" s="10"/>
      <c r="T11" s="9"/>
      <c r="U11" s="9"/>
    </row>
    <row r="12" spans="1:21" ht="79.2" x14ac:dyDescent="0.3">
      <c r="A12" s="13" t="s">
        <v>753</v>
      </c>
      <c r="B12" s="14">
        <v>9</v>
      </c>
      <c r="C12" s="9" t="s">
        <v>54</v>
      </c>
      <c r="D12" s="9" t="s">
        <v>381</v>
      </c>
      <c r="E12" s="9" t="s">
        <v>734</v>
      </c>
      <c r="F12" s="9" t="s">
        <v>742</v>
      </c>
      <c r="G12" s="9" t="s">
        <v>754</v>
      </c>
      <c r="H12" s="9">
        <v>106</v>
      </c>
      <c r="I12" s="10" t="s">
        <v>755</v>
      </c>
      <c r="J12" s="10" t="s">
        <v>756</v>
      </c>
      <c r="K12" s="9">
        <v>6</v>
      </c>
      <c r="L12" s="10" t="s">
        <v>757</v>
      </c>
      <c r="M12" s="9">
        <v>4</v>
      </c>
      <c r="N12" s="9" t="s">
        <v>62</v>
      </c>
      <c r="O12" s="10" t="s">
        <v>758</v>
      </c>
      <c r="P12" s="10" t="s">
        <v>60</v>
      </c>
      <c r="Q12" s="9">
        <v>0</v>
      </c>
      <c r="R12" s="10" t="s">
        <v>759</v>
      </c>
      <c r="S12" s="10"/>
      <c r="T12" s="9"/>
      <c r="U12" s="9"/>
    </row>
    <row r="13" spans="1:21" ht="52.8" x14ac:dyDescent="0.3">
      <c r="A13" s="13" t="s">
        <v>760</v>
      </c>
      <c r="B13" s="14">
        <v>9</v>
      </c>
      <c r="C13" s="9" t="s">
        <v>54</v>
      </c>
      <c r="D13" s="9" t="s">
        <v>381</v>
      </c>
      <c r="E13" s="9" t="s">
        <v>734</v>
      </c>
      <c r="F13" s="9" t="s">
        <v>761</v>
      </c>
      <c r="G13" s="9" t="s">
        <v>762</v>
      </c>
      <c r="H13" s="9">
        <v>107</v>
      </c>
      <c r="I13" s="10" t="s">
        <v>763</v>
      </c>
      <c r="J13" s="10" t="s">
        <v>764</v>
      </c>
      <c r="K13" s="9">
        <v>4</v>
      </c>
      <c r="L13" s="10" t="s">
        <v>765</v>
      </c>
      <c r="M13" s="9">
        <v>4</v>
      </c>
      <c r="N13" s="9" t="s">
        <v>62</v>
      </c>
      <c r="O13" s="10" t="s">
        <v>766</v>
      </c>
      <c r="P13" s="10" t="s">
        <v>767</v>
      </c>
      <c r="Q13" s="9">
        <v>1</v>
      </c>
      <c r="R13" s="10"/>
      <c r="S13" s="10"/>
      <c r="T13" s="9"/>
      <c r="U13" s="9"/>
    </row>
    <row r="14" spans="1:21" ht="52.8" x14ac:dyDescent="0.3">
      <c r="A14" s="13" t="s">
        <v>768</v>
      </c>
      <c r="B14" s="14">
        <v>9</v>
      </c>
      <c r="C14" s="9" t="s">
        <v>54</v>
      </c>
      <c r="D14" s="9" t="s">
        <v>381</v>
      </c>
      <c r="E14" s="9" t="s">
        <v>734</v>
      </c>
      <c r="F14" s="9" t="s">
        <v>761</v>
      </c>
      <c r="G14" s="9" t="s">
        <v>769</v>
      </c>
      <c r="H14" s="9">
        <v>108</v>
      </c>
      <c r="I14" s="10" t="s">
        <v>770</v>
      </c>
      <c r="J14" s="10" t="s">
        <v>771</v>
      </c>
      <c r="K14" s="9">
        <v>2</v>
      </c>
      <c r="L14" s="10" t="s">
        <v>772</v>
      </c>
      <c r="M14" s="9">
        <v>4</v>
      </c>
      <c r="N14" s="9" t="s">
        <v>62</v>
      </c>
      <c r="O14" s="10" t="s">
        <v>607</v>
      </c>
      <c r="P14" s="10" t="s">
        <v>60</v>
      </c>
      <c r="Q14" s="9">
        <v>0</v>
      </c>
      <c r="R14" s="10" t="s">
        <v>773</v>
      </c>
      <c r="S14" s="10"/>
      <c r="T14" s="9"/>
      <c r="U14" s="9"/>
    </row>
    <row r="15" spans="1:21" ht="66" x14ac:dyDescent="0.3">
      <c r="A15" s="13" t="s">
        <v>774</v>
      </c>
      <c r="B15" s="14">
        <v>9</v>
      </c>
      <c r="C15" s="9" t="s">
        <v>54</v>
      </c>
      <c r="D15" s="9" t="s">
        <v>381</v>
      </c>
      <c r="E15" s="9" t="s">
        <v>734</v>
      </c>
      <c r="F15" s="9" t="s">
        <v>761</v>
      </c>
      <c r="G15" s="9" t="s">
        <v>775</v>
      </c>
      <c r="H15" s="9">
        <v>109</v>
      </c>
      <c r="I15" s="10" t="s">
        <v>776</v>
      </c>
      <c r="J15" s="10" t="s">
        <v>777</v>
      </c>
      <c r="K15" s="9">
        <v>4</v>
      </c>
      <c r="L15" s="10" t="s">
        <v>778</v>
      </c>
      <c r="M15" s="9">
        <v>4</v>
      </c>
      <c r="N15" s="9" t="s">
        <v>62</v>
      </c>
      <c r="O15" s="10" t="s">
        <v>779</v>
      </c>
      <c r="P15" s="10" t="s">
        <v>780</v>
      </c>
      <c r="Q15" s="9">
        <v>2</v>
      </c>
      <c r="R15" s="10"/>
      <c r="S15" s="10"/>
      <c r="T15" s="9"/>
      <c r="U15" s="9"/>
    </row>
    <row r="16" spans="1:21" ht="39.6" x14ac:dyDescent="0.3">
      <c r="A16" s="13" t="s">
        <v>781</v>
      </c>
      <c r="B16" s="14">
        <v>9</v>
      </c>
      <c r="C16" s="9" t="s">
        <v>54</v>
      </c>
      <c r="D16" s="9" t="s">
        <v>381</v>
      </c>
      <c r="E16" s="9" t="s">
        <v>734</v>
      </c>
      <c r="F16" s="9" t="s">
        <v>761</v>
      </c>
      <c r="G16" s="9" t="s">
        <v>782</v>
      </c>
      <c r="H16" s="9">
        <v>110</v>
      </c>
      <c r="I16" s="10" t="s">
        <v>783</v>
      </c>
      <c r="J16" s="10" t="s">
        <v>784</v>
      </c>
      <c r="K16" s="9">
        <v>3</v>
      </c>
      <c r="L16" s="10" t="s">
        <v>785</v>
      </c>
      <c r="M16" s="9">
        <v>2</v>
      </c>
      <c r="N16" s="9" t="s">
        <v>62</v>
      </c>
      <c r="O16" s="10" t="s">
        <v>607</v>
      </c>
      <c r="P16" s="10" t="s">
        <v>60</v>
      </c>
      <c r="Q16" s="9">
        <v>0</v>
      </c>
      <c r="R16" s="10" t="s">
        <v>786</v>
      </c>
      <c r="S16" s="10"/>
      <c r="T16" s="9"/>
      <c r="U16" s="9"/>
    </row>
    <row r="17" spans="1:21" ht="66" x14ac:dyDescent="0.3">
      <c r="A17" s="13" t="s">
        <v>787</v>
      </c>
      <c r="B17" s="14">
        <v>9</v>
      </c>
      <c r="C17" s="9" t="s">
        <v>54</v>
      </c>
      <c r="D17" s="9" t="s">
        <v>175</v>
      </c>
      <c r="E17" s="9" t="s">
        <v>788</v>
      </c>
      <c r="F17" s="9" t="s">
        <v>789</v>
      </c>
      <c r="G17" s="9" t="s">
        <v>790</v>
      </c>
      <c r="H17" s="9">
        <v>111</v>
      </c>
      <c r="I17" s="10" t="s">
        <v>791</v>
      </c>
      <c r="J17" s="10" t="s">
        <v>60</v>
      </c>
      <c r="K17" s="9">
        <v>0</v>
      </c>
      <c r="L17" s="10" t="s">
        <v>60</v>
      </c>
      <c r="M17" s="9">
        <v>0</v>
      </c>
      <c r="N17" s="9" t="s">
        <v>62</v>
      </c>
      <c r="O17" s="10" t="s">
        <v>792</v>
      </c>
      <c r="P17" s="10" t="s">
        <v>60</v>
      </c>
      <c r="Q17" s="9">
        <v>0</v>
      </c>
      <c r="R17" s="10"/>
      <c r="S17" s="10"/>
      <c r="T17" s="9"/>
      <c r="U17" s="9"/>
    </row>
    <row r="18" spans="1:21" ht="52.8" x14ac:dyDescent="0.3">
      <c r="A18" s="13" t="s">
        <v>793</v>
      </c>
      <c r="B18" s="14">
        <v>9</v>
      </c>
      <c r="C18" s="9" t="s">
        <v>54</v>
      </c>
      <c r="D18" s="9" t="s">
        <v>175</v>
      </c>
      <c r="E18" s="9" t="s">
        <v>788</v>
      </c>
      <c r="F18" s="9" t="s">
        <v>789</v>
      </c>
      <c r="G18" s="9" t="s">
        <v>794</v>
      </c>
      <c r="H18" s="9">
        <v>112</v>
      </c>
      <c r="I18" s="10" t="s">
        <v>795</v>
      </c>
      <c r="J18" s="10" t="s">
        <v>796</v>
      </c>
      <c r="K18" s="9">
        <v>4</v>
      </c>
      <c r="L18" s="10" t="s">
        <v>797</v>
      </c>
      <c r="M18" s="9">
        <v>4</v>
      </c>
      <c r="N18" s="9" t="s">
        <v>62</v>
      </c>
      <c r="O18" s="10" t="s">
        <v>607</v>
      </c>
      <c r="P18" s="10" t="s">
        <v>60</v>
      </c>
      <c r="Q18" s="9">
        <v>0</v>
      </c>
      <c r="R18" s="10"/>
      <c r="S18" s="10"/>
      <c r="T18" s="9"/>
      <c r="U18" s="9"/>
    </row>
    <row r="19" spans="1:21" ht="52.8" x14ac:dyDescent="0.3">
      <c r="A19" s="13" t="s">
        <v>663</v>
      </c>
      <c r="B19" s="14">
        <v>9</v>
      </c>
      <c r="C19" s="9" t="s">
        <v>54</v>
      </c>
      <c r="D19" s="9" t="s">
        <v>175</v>
      </c>
      <c r="E19" s="9" t="s">
        <v>788</v>
      </c>
      <c r="F19" s="9" t="s">
        <v>789</v>
      </c>
      <c r="G19" s="9" t="s">
        <v>798</v>
      </c>
      <c r="H19" s="9">
        <v>113</v>
      </c>
      <c r="I19" s="10" t="s">
        <v>799</v>
      </c>
      <c r="J19" s="10" t="s">
        <v>800</v>
      </c>
      <c r="K19" s="9">
        <v>3</v>
      </c>
      <c r="L19" s="10" t="s">
        <v>801</v>
      </c>
      <c r="M19" s="9">
        <v>3</v>
      </c>
      <c r="N19" s="9" t="s">
        <v>62</v>
      </c>
      <c r="O19" s="10" t="s">
        <v>802</v>
      </c>
      <c r="P19" s="10" t="s">
        <v>60</v>
      </c>
      <c r="Q19" s="9">
        <v>0</v>
      </c>
      <c r="R19" s="10"/>
      <c r="S19" s="10"/>
      <c r="T19" s="9" t="s">
        <v>656</v>
      </c>
      <c r="U19" s="9"/>
    </row>
    <row r="20" spans="1:21" ht="66" x14ac:dyDescent="0.3">
      <c r="A20" s="13" t="s">
        <v>803</v>
      </c>
      <c r="B20" s="14">
        <v>9</v>
      </c>
      <c r="C20" s="9" t="s">
        <v>54</v>
      </c>
      <c r="D20" s="9" t="s">
        <v>175</v>
      </c>
      <c r="E20" s="9" t="s">
        <v>788</v>
      </c>
      <c r="F20" s="9" t="s">
        <v>789</v>
      </c>
      <c r="G20" s="9" t="s">
        <v>804</v>
      </c>
      <c r="H20" s="9">
        <v>114</v>
      </c>
      <c r="I20" s="10" t="s">
        <v>805</v>
      </c>
      <c r="J20" s="10" t="s">
        <v>806</v>
      </c>
      <c r="K20" s="9">
        <v>4</v>
      </c>
      <c r="L20" s="10" t="s">
        <v>807</v>
      </c>
      <c r="M20" s="9">
        <v>5</v>
      </c>
      <c r="N20" s="9" t="s">
        <v>62</v>
      </c>
      <c r="O20" s="10" t="s">
        <v>808</v>
      </c>
      <c r="P20" s="10" t="s">
        <v>809</v>
      </c>
      <c r="Q20" s="9">
        <v>2</v>
      </c>
      <c r="R20" s="10" t="s">
        <v>810</v>
      </c>
      <c r="S20" s="10"/>
      <c r="T20" s="9" t="s">
        <v>105</v>
      </c>
      <c r="U20" s="9" t="s">
        <v>811</v>
      </c>
    </row>
    <row r="21" spans="1:21" ht="39.6" x14ac:dyDescent="0.3">
      <c r="A21" s="13" t="s">
        <v>812</v>
      </c>
      <c r="B21" s="14">
        <v>9</v>
      </c>
      <c r="C21" s="9" t="s">
        <v>54</v>
      </c>
      <c r="D21" s="9" t="s">
        <v>175</v>
      </c>
      <c r="E21" s="9" t="s">
        <v>788</v>
      </c>
      <c r="F21" s="9" t="s">
        <v>813</v>
      </c>
      <c r="G21" s="9" t="s">
        <v>814</v>
      </c>
      <c r="H21" s="9">
        <v>115</v>
      </c>
      <c r="I21" s="10" t="s">
        <v>815</v>
      </c>
      <c r="J21" s="10" t="s">
        <v>816</v>
      </c>
      <c r="K21" s="9">
        <v>2</v>
      </c>
      <c r="L21" s="10" t="s">
        <v>817</v>
      </c>
      <c r="M21" s="9">
        <v>2</v>
      </c>
      <c r="N21" s="9" t="s">
        <v>126</v>
      </c>
      <c r="O21" s="10" t="s">
        <v>818</v>
      </c>
      <c r="P21" s="10" t="s">
        <v>60</v>
      </c>
      <c r="Q21" s="9">
        <v>0</v>
      </c>
      <c r="R21" s="10"/>
      <c r="S21" s="10"/>
      <c r="T21" s="9"/>
      <c r="U21" s="9"/>
    </row>
    <row r="22" spans="1:21" ht="66" x14ac:dyDescent="0.3">
      <c r="A22" s="13" t="s">
        <v>655</v>
      </c>
      <c r="B22" s="14">
        <v>9</v>
      </c>
      <c r="C22" s="9" t="s">
        <v>54</v>
      </c>
      <c r="D22" s="9" t="s">
        <v>175</v>
      </c>
      <c r="E22" s="9" t="s">
        <v>788</v>
      </c>
      <c r="F22" s="9" t="s">
        <v>813</v>
      </c>
      <c r="G22" s="9" t="s">
        <v>819</v>
      </c>
      <c r="H22" s="9">
        <v>116</v>
      </c>
      <c r="I22" s="10" t="s">
        <v>820</v>
      </c>
      <c r="J22" s="10" t="s">
        <v>60</v>
      </c>
      <c r="K22" s="9">
        <v>0</v>
      </c>
      <c r="L22" s="10" t="s">
        <v>821</v>
      </c>
      <c r="M22" s="9">
        <v>3</v>
      </c>
      <c r="N22" s="9" t="s">
        <v>62</v>
      </c>
      <c r="O22" s="10" t="s">
        <v>822</v>
      </c>
      <c r="P22" s="10" t="s">
        <v>823</v>
      </c>
      <c r="Q22" s="9">
        <v>2</v>
      </c>
      <c r="R22" s="10"/>
      <c r="S22" s="10"/>
      <c r="T22" s="9" t="s">
        <v>650</v>
      </c>
      <c r="U22" s="9"/>
    </row>
    <row r="23" spans="1:21" ht="39.6" x14ac:dyDescent="0.3">
      <c r="A23" s="13" t="s">
        <v>824</v>
      </c>
      <c r="B23" s="14">
        <v>9</v>
      </c>
      <c r="C23" s="9" t="s">
        <v>54</v>
      </c>
      <c r="D23" s="9" t="s">
        <v>175</v>
      </c>
      <c r="E23" s="9" t="s">
        <v>788</v>
      </c>
      <c r="F23" s="9" t="s">
        <v>813</v>
      </c>
      <c r="G23" s="9" t="s">
        <v>825</v>
      </c>
      <c r="H23" s="9">
        <v>117</v>
      </c>
      <c r="I23" s="10" t="s">
        <v>826</v>
      </c>
      <c r="J23" s="10" t="s">
        <v>60</v>
      </c>
      <c r="K23" s="9">
        <v>0</v>
      </c>
      <c r="L23" s="10" t="s">
        <v>827</v>
      </c>
      <c r="M23" s="9">
        <v>2</v>
      </c>
      <c r="N23" s="9" t="s">
        <v>126</v>
      </c>
      <c r="O23" s="10" t="s">
        <v>828</v>
      </c>
      <c r="P23" s="10" t="s">
        <v>60</v>
      </c>
      <c r="Q23" s="9">
        <v>0</v>
      </c>
      <c r="R23" s="10"/>
      <c r="S23" s="10"/>
      <c r="T23" s="9"/>
      <c r="U23" s="9"/>
    </row>
    <row r="24" spans="1:21" ht="52.8" x14ac:dyDescent="0.3">
      <c r="A24" s="13" t="s">
        <v>668</v>
      </c>
      <c r="B24" s="14">
        <v>9</v>
      </c>
      <c r="C24" s="9" t="s">
        <v>54</v>
      </c>
      <c r="D24" s="9" t="s">
        <v>175</v>
      </c>
      <c r="E24" s="9" t="s">
        <v>788</v>
      </c>
      <c r="F24" s="9" t="s">
        <v>813</v>
      </c>
      <c r="G24" s="9" t="s">
        <v>665</v>
      </c>
      <c r="H24" s="9">
        <v>118</v>
      </c>
      <c r="I24" s="10" t="s">
        <v>829</v>
      </c>
      <c r="J24" s="10" t="s">
        <v>60</v>
      </c>
      <c r="K24" s="9">
        <v>0</v>
      </c>
      <c r="L24" s="10" t="s">
        <v>60</v>
      </c>
      <c r="M24" s="9">
        <v>0</v>
      </c>
      <c r="N24" s="9" t="s">
        <v>62</v>
      </c>
      <c r="O24" s="10" t="s">
        <v>607</v>
      </c>
      <c r="P24" s="10" t="s">
        <v>60</v>
      </c>
      <c r="Q24" s="9">
        <v>0</v>
      </c>
      <c r="R24" s="10"/>
      <c r="S24" s="10"/>
      <c r="T24" s="9" t="s">
        <v>664</v>
      </c>
      <c r="U24" s="9"/>
    </row>
    <row r="25" spans="1:21" ht="79.2" x14ac:dyDescent="0.3">
      <c r="A25" s="13" t="s">
        <v>830</v>
      </c>
      <c r="B25" s="14">
        <v>9</v>
      </c>
      <c r="C25" s="9" t="s">
        <v>238</v>
      </c>
      <c r="D25" s="9" t="s">
        <v>239</v>
      </c>
      <c r="E25" s="9" t="s">
        <v>831</v>
      </c>
      <c r="F25" s="9" t="s">
        <v>832</v>
      </c>
      <c r="G25" s="9" t="s">
        <v>833</v>
      </c>
      <c r="H25" s="9">
        <v>119</v>
      </c>
      <c r="I25" s="10" t="s">
        <v>834</v>
      </c>
      <c r="J25" s="10" t="s">
        <v>60</v>
      </c>
      <c r="K25" s="9">
        <v>0</v>
      </c>
      <c r="L25" s="10" t="s">
        <v>835</v>
      </c>
      <c r="M25" s="9">
        <v>3</v>
      </c>
      <c r="N25" s="9" t="s">
        <v>62</v>
      </c>
      <c r="O25" s="10" t="s">
        <v>836</v>
      </c>
      <c r="P25" s="10" t="s">
        <v>837</v>
      </c>
      <c r="Q25" s="9">
        <v>1</v>
      </c>
      <c r="R25" s="10"/>
      <c r="S25" s="10"/>
      <c r="T25" s="9"/>
      <c r="U25" s="9" t="s">
        <v>838</v>
      </c>
    </row>
    <row r="26" spans="1:21" ht="66" x14ac:dyDescent="0.3">
      <c r="A26" s="13" t="s">
        <v>839</v>
      </c>
      <c r="B26" s="14">
        <v>9</v>
      </c>
      <c r="C26" s="9" t="s">
        <v>238</v>
      </c>
      <c r="D26" s="9" t="s">
        <v>239</v>
      </c>
      <c r="E26" s="9" t="s">
        <v>831</v>
      </c>
      <c r="F26" s="9" t="s">
        <v>832</v>
      </c>
      <c r="G26" s="9" t="s">
        <v>840</v>
      </c>
      <c r="H26" s="9">
        <v>120</v>
      </c>
      <c r="I26" s="10" t="s">
        <v>841</v>
      </c>
      <c r="J26" s="10" t="s">
        <v>60</v>
      </c>
      <c r="K26" s="9">
        <v>0</v>
      </c>
      <c r="L26" s="10" t="s">
        <v>842</v>
      </c>
      <c r="M26" s="9">
        <v>2</v>
      </c>
      <c r="N26" s="9" t="s">
        <v>62</v>
      </c>
      <c r="O26" s="10" t="s">
        <v>607</v>
      </c>
      <c r="P26" s="10" t="s">
        <v>60</v>
      </c>
      <c r="Q26" s="9">
        <v>0</v>
      </c>
      <c r="R26" s="10"/>
      <c r="S26" s="10"/>
      <c r="T26" s="9"/>
      <c r="U26" s="9" t="s">
        <v>843</v>
      </c>
    </row>
    <row r="27" spans="1:21" ht="66" x14ac:dyDescent="0.3">
      <c r="A27" s="13" t="s">
        <v>844</v>
      </c>
      <c r="B27" s="14">
        <v>9</v>
      </c>
      <c r="C27" s="9" t="s">
        <v>238</v>
      </c>
      <c r="D27" s="9" t="s">
        <v>239</v>
      </c>
      <c r="E27" s="9" t="s">
        <v>831</v>
      </c>
      <c r="F27" s="9" t="s">
        <v>832</v>
      </c>
      <c r="G27" s="9" t="s">
        <v>845</v>
      </c>
      <c r="H27" s="9">
        <v>121</v>
      </c>
      <c r="I27" s="10" t="s">
        <v>846</v>
      </c>
      <c r="J27" s="10" t="s">
        <v>60</v>
      </c>
      <c r="K27" s="9">
        <v>0</v>
      </c>
      <c r="L27" s="10" t="s">
        <v>847</v>
      </c>
      <c r="M27" s="9">
        <v>2</v>
      </c>
      <c r="N27" s="9" t="s">
        <v>126</v>
      </c>
      <c r="O27" s="10" t="s">
        <v>848</v>
      </c>
      <c r="P27" s="10" t="s">
        <v>60</v>
      </c>
      <c r="Q27" s="9">
        <v>0</v>
      </c>
      <c r="R27" s="10" t="s">
        <v>849</v>
      </c>
      <c r="S27" s="10"/>
      <c r="T27" s="9"/>
      <c r="U27" s="9"/>
    </row>
    <row r="28" spans="1:21" ht="79.2" x14ac:dyDescent="0.3">
      <c r="A28" s="13" t="s">
        <v>850</v>
      </c>
      <c r="B28" s="14">
        <v>9</v>
      </c>
      <c r="C28" s="9" t="s">
        <v>238</v>
      </c>
      <c r="D28" s="9" t="s">
        <v>239</v>
      </c>
      <c r="E28" s="9" t="s">
        <v>831</v>
      </c>
      <c r="F28" s="9" t="s">
        <v>851</v>
      </c>
      <c r="G28" s="9" t="s">
        <v>852</v>
      </c>
      <c r="H28" s="9">
        <v>122</v>
      </c>
      <c r="I28" s="10" t="s">
        <v>853</v>
      </c>
      <c r="J28" s="10" t="s">
        <v>60</v>
      </c>
      <c r="K28" s="9">
        <v>0</v>
      </c>
      <c r="L28" s="10" t="s">
        <v>854</v>
      </c>
      <c r="M28" s="9">
        <v>3</v>
      </c>
      <c r="N28" s="9" t="s">
        <v>62</v>
      </c>
      <c r="O28" s="10" t="s">
        <v>855</v>
      </c>
      <c r="P28" s="10" t="s">
        <v>856</v>
      </c>
      <c r="Q28" s="9">
        <v>1</v>
      </c>
      <c r="R28" s="10"/>
      <c r="S28" s="10"/>
      <c r="T28" s="9"/>
      <c r="U28" s="9" t="s">
        <v>857</v>
      </c>
    </row>
    <row r="29" spans="1:21" ht="79.2" x14ac:dyDescent="0.3">
      <c r="A29" s="13" t="s">
        <v>858</v>
      </c>
      <c r="B29" s="14">
        <v>9</v>
      </c>
      <c r="C29" s="9" t="s">
        <v>238</v>
      </c>
      <c r="D29" s="9" t="s">
        <v>239</v>
      </c>
      <c r="E29" s="9" t="s">
        <v>831</v>
      </c>
      <c r="F29" s="9" t="s">
        <v>851</v>
      </c>
      <c r="G29" s="9" t="s">
        <v>859</v>
      </c>
      <c r="H29" s="9">
        <v>123</v>
      </c>
      <c r="I29" s="10" t="s">
        <v>860</v>
      </c>
      <c r="J29" s="10" t="s">
        <v>60</v>
      </c>
      <c r="K29" s="9">
        <v>0</v>
      </c>
      <c r="L29" s="10" t="s">
        <v>861</v>
      </c>
      <c r="M29" s="9">
        <v>3</v>
      </c>
      <c r="N29" s="9" t="s">
        <v>126</v>
      </c>
      <c r="O29" s="10" t="s">
        <v>862</v>
      </c>
      <c r="P29" s="10" t="s">
        <v>863</v>
      </c>
      <c r="Q29" s="9">
        <v>1</v>
      </c>
      <c r="R29" s="10"/>
      <c r="S29" s="10"/>
      <c r="T29" s="9"/>
      <c r="U29" s="9" t="s">
        <v>864</v>
      </c>
    </row>
    <row r="30" spans="1:21" ht="92.4" x14ac:dyDescent="0.3">
      <c r="A30" s="13" t="s">
        <v>865</v>
      </c>
      <c r="B30" s="14">
        <v>9</v>
      </c>
      <c r="C30" s="9" t="s">
        <v>238</v>
      </c>
      <c r="D30" s="9" t="s">
        <v>239</v>
      </c>
      <c r="E30" s="9" t="s">
        <v>831</v>
      </c>
      <c r="F30" s="9" t="s">
        <v>851</v>
      </c>
      <c r="G30" s="9" t="s">
        <v>866</v>
      </c>
      <c r="H30" s="9">
        <v>124</v>
      </c>
      <c r="I30" s="10" t="s">
        <v>867</v>
      </c>
      <c r="J30" s="10" t="s">
        <v>60</v>
      </c>
      <c r="K30" s="9">
        <v>0</v>
      </c>
      <c r="L30" s="10" t="s">
        <v>868</v>
      </c>
      <c r="M30" s="9">
        <v>3</v>
      </c>
      <c r="N30" s="9" t="s">
        <v>126</v>
      </c>
      <c r="O30" s="10" t="s">
        <v>869</v>
      </c>
      <c r="P30" s="10" t="s">
        <v>870</v>
      </c>
      <c r="Q30" s="9">
        <v>1</v>
      </c>
      <c r="R30" s="10"/>
      <c r="S30" s="10"/>
      <c r="T30" s="9"/>
      <c r="U30" s="9" t="s">
        <v>871</v>
      </c>
    </row>
    <row r="31" spans="1:21" ht="52.8" x14ac:dyDescent="0.3">
      <c r="A31" s="13" t="s">
        <v>872</v>
      </c>
      <c r="B31" s="14">
        <v>9</v>
      </c>
      <c r="C31" s="9" t="s">
        <v>238</v>
      </c>
      <c r="D31" s="9" t="s">
        <v>239</v>
      </c>
      <c r="E31" s="9" t="s">
        <v>831</v>
      </c>
      <c r="F31" s="9" t="s">
        <v>851</v>
      </c>
      <c r="G31" s="9" t="s">
        <v>873</v>
      </c>
      <c r="H31" s="9">
        <v>125</v>
      </c>
      <c r="I31" s="10" t="s">
        <v>874</v>
      </c>
      <c r="J31" s="10" t="s">
        <v>875</v>
      </c>
      <c r="K31" s="9">
        <v>3</v>
      </c>
      <c r="L31" s="10" t="s">
        <v>876</v>
      </c>
      <c r="M31" s="9">
        <v>4</v>
      </c>
      <c r="N31" s="9" t="s">
        <v>62</v>
      </c>
      <c r="O31" s="10" t="s">
        <v>877</v>
      </c>
      <c r="P31" s="10" t="s">
        <v>878</v>
      </c>
      <c r="Q31" s="9">
        <v>2</v>
      </c>
      <c r="R31" s="10"/>
      <c r="S31" s="10"/>
      <c r="T31" s="9"/>
      <c r="U31" s="9" t="s">
        <v>879</v>
      </c>
    </row>
    <row r="32" spans="1:21" ht="39.6" x14ac:dyDescent="0.3">
      <c r="A32" s="13" t="s">
        <v>880</v>
      </c>
      <c r="B32" s="14">
        <v>9</v>
      </c>
      <c r="C32" s="9" t="s">
        <v>238</v>
      </c>
      <c r="D32" s="9" t="s">
        <v>565</v>
      </c>
      <c r="E32" s="9" t="s">
        <v>881</v>
      </c>
      <c r="F32" s="9" t="s">
        <v>882</v>
      </c>
      <c r="G32" s="9" t="s">
        <v>883</v>
      </c>
      <c r="H32" s="9">
        <v>126</v>
      </c>
      <c r="I32" s="10" t="s">
        <v>884</v>
      </c>
      <c r="J32" s="10" t="s">
        <v>60</v>
      </c>
      <c r="K32" s="9">
        <v>0</v>
      </c>
      <c r="L32" s="10" t="s">
        <v>60</v>
      </c>
      <c r="M32" s="9">
        <v>0</v>
      </c>
      <c r="N32" s="9" t="s">
        <v>87</v>
      </c>
      <c r="O32" s="10" t="s">
        <v>87</v>
      </c>
      <c r="P32" s="10" t="s">
        <v>60</v>
      </c>
      <c r="Q32" s="9">
        <v>0</v>
      </c>
      <c r="R32" s="10"/>
      <c r="S32" s="10"/>
      <c r="T32" s="9"/>
      <c r="U32" s="9"/>
    </row>
    <row r="33" spans="1:21" ht="52.8" x14ac:dyDescent="0.3">
      <c r="A33" s="13" t="s">
        <v>885</v>
      </c>
      <c r="B33" s="14">
        <v>9</v>
      </c>
      <c r="C33" s="9" t="s">
        <v>238</v>
      </c>
      <c r="D33" s="9" t="s">
        <v>565</v>
      </c>
      <c r="E33" s="9" t="s">
        <v>881</v>
      </c>
      <c r="F33" s="9" t="s">
        <v>882</v>
      </c>
      <c r="G33" s="9" t="s">
        <v>886</v>
      </c>
      <c r="H33" s="9">
        <v>127</v>
      </c>
      <c r="I33" s="10" t="s">
        <v>887</v>
      </c>
      <c r="J33" s="10" t="s">
        <v>60</v>
      </c>
      <c r="K33" s="9">
        <v>0</v>
      </c>
      <c r="L33" s="10" t="s">
        <v>60</v>
      </c>
      <c r="M33" s="9">
        <v>0</v>
      </c>
      <c r="N33" s="9" t="s">
        <v>76</v>
      </c>
      <c r="O33" s="10" t="s">
        <v>621</v>
      </c>
      <c r="P33" s="10" t="s">
        <v>60</v>
      </c>
      <c r="Q33" s="9">
        <v>0</v>
      </c>
      <c r="R33" s="10"/>
      <c r="S33" s="10"/>
      <c r="T33" s="9"/>
      <c r="U33" s="9"/>
    </row>
    <row r="34" spans="1:21" ht="52.8" x14ac:dyDescent="0.3">
      <c r="A34" s="13" t="s">
        <v>888</v>
      </c>
      <c r="B34" s="14">
        <v>9</v>
      </c>
      <c r="C34" s="9" t="s">
        <v>238</v>
      </c>
      <c r="D34" s="9" t="s">
        <v>565</v>
      </c>
      <c r="E34" s="9" t="s">
        <v>881</v>
      </c>
      <c r="F34" s="9" t="s">
        <v>882</v>
      </c>
      <c r="G34" s="9" t="s">
        <v>889</v>
      </c>
      <c r="H34" s="9">
        <v>128</v>
      </c>
      <c r="I34" s="10" t="s">
        <v>890</v>
      </c>
      <c r="J34" s="10" t="s">
        <v>891</v>
      </c>
      <c r="K34" s="9">
        <v>1</v>
      </c>
      <c r="L34" s="10" t="s">
        <v>892</v>
      </c>
      <c r="M34" s="9">
        <v>3</v>
      </c>
      <c r="N34" s="9" t="s">
        <v>62</v>
      </c>
      <c r="O34" s="10" t="s">
        <v>893</v>
      </c>
      <c r="P34" s="10" t="s">
        <v>894</v>
      </c>
      <c r="Q34" s="9">
        <v>1</v>
      </c>
      <c r="R34" s="10"/>
      <c r="S34" s="10"/>
      <c r="T34" s="9"/>
      <c r="U34" s="9"/>
    </row>
    <row r="35" spans="1:21" ht="52.8" x14ac:dyDescent="0.3">
      <c r="A35" s="13" t="s">
        <v>895</v>
      </c>
      <c r="B35" s="14">
        <v>9</v>
      </c>
      <c r="C35" s="9" t="s">
        <v>238</v>
      </c>
      <c r="D35" s="9" t="s">
        <v>565</v>
      </c>
      <c r="E35" s="9" t="s">
        <v>881</v>
      </c>
      <c r="F35" s="9" t="s">
        <v>882</v>
      </c>
      <c r="G35" s="9" t="s">
        <v>896</v>
      </c>
      <c r="H35" s="9">
        <v>129</v>
      </c>
      <c r="I35" s="10" t="s">
        <v>897</v>
      </c>
      <c r="J35" s="10" t="s">
        <v>898</v>
      </c>
      <c r="K35" s="9">
        <v>4</v>
      </c>
      <c r="L35" s="10" t="s">
        <v>899</v>
      </c>
      <c r="M35" s="9">
        <v>3</v>
      </c>
      <c r="N35" s="9" t="s">
        <v>62</v>
      </c>
      <c r="O35" s="10" t="s">
        <v>900</v>
      </c>
      <c r="P35" s="10" t="s">
        <v>60</v>
      </c>
      <c r="Q35" s="9">
        <v>0</v>
      </c>
      <c r="R35" s="10"/>
      <c r="S35" s="10"/>
      <c r="T35" s="9"/>
      <c r="U35" s="9"/>
    </row>
    <row r="36" spans="1:21" ht="52.8" x14ac:dyDescent="0.3">
      <c r="A36" s="13" t="s">
        <v>901</v>
      </c>
      <c r="B36" s="14">
        <v>9</v>
      </c>
      <c r="C36" s="9" t="s">
        <v>238</v>
      </c>
      <c r="D36" s="9" t="s">
        <v>565</v>
      </c>
      <c r="E36" s="9" t="s">
        <v>881</v>
      </c>
      <c r="F36" s="9" t="s">
        <v>902</v>
      </c>
      <c r="G36" s="9" t="s">
        <v>903</v>
      </c>
      <c r="H36" s="9">
        <v>130</v>
      </c>
      <c r="I36" s="10" t="s">
        <v>904</v>
      </c>
      <c r="J36" s="10" t="s">
        <v>905</v>
      </c>
      <c r="K36" s="9">
        <v>3</v>
      </c>
      <c r="L36" s="10" t="s">
        <v>906</v>
      </c>
      <c r="M36" s="9">
        <v>4</v>
      </c>
      <c r="N36" s="9" t="s">
        <v>62</v>
      </c>
      <c r="O36" s="10" t="s">
        <v>907</v>
      </c>
      <c r="P36" s="10" t="s">
        <v>908</v>
      </c>
      <c r="Q36" s="9">
        <v>1</v>
      </c>
      <c r="R36" s="10"/>
      <c r="S36" s="10"/>
      <c r="T36" s="9"/>
      <c r="U36" s="9"/>
    </row>
    <row r="37" spans="1:21" ht="52.8" x14ac:dyDescent="0.3">
      <c r="A37" s="13" t="s">
        <v>909</v>
      </c>
      <c r="B37" s="14">
        <v>9</v>
      </c>
      <c r="C37" s="9" t="s">
        <v>238</v>
      </c>
      <c r="D37" s="9" t="s">
        <v>565</v>
      </c>
      <c r="E37" s="9" t="s">
        <v>881</v>
      </c>
      <c r="F37" s="9" t="s">
        <v>902</v>
      </c>
      <c r="G37" s="9" t="s">
        <v>910</v>
      </c>
      <c r="H37" s="9">
        <v>131</v>
      </c>
      <c r="I37" s="10" t="s">
        <v>911</v>
      </c>
      <c r="J37" s="10" t="s">
        <v>60</v>
      </c>
      <c r="K37" s="9">
        <v>0</v>
      </c>
      <c r="L37" s="10" t="s">
        <v>60</v>
      </c>
      <c r="M37" s="9">
        <v>0</v>
      </c>
      <c r="N37" s="9" t="s">
        <v>126</v>
      </c>
      <c r="O37" s="10" t="s">
        <v>912</v>
      </c>
      <c r="P37" s="10" t="s">
        <v>60</v>
      </c>
      <c r="Q37" s="9">
        <v>0</v>
      </c>
      <c r="R37" s="10"/>
      <c r="S37" s="10"/>
      <c r="T37" s="9"/>
      <c r="U37" s="9"/>
    </row>
    <row r="38" spans="1:21" ht="66" x14ac:dyDescent="0.3">
      <c r="A38" s="13" t="s">
        <v>913</v>
      </c>
      <c r="B38" s="14">
        <v>9</v>
      </c>
      <c r="C38" s="9" t="s">
        <v>238</v>
      </c>
      <c r="D38" s="9" t="s">
        <v>565</v>
      </c>
      <c r="E38" s="9" t="s">
        <v>881</v>
      </c>
      <c r="F38" s="9" t="s">
        <v>902</v>
      </c>
      <c r="G38" s="9" t="s">
        <v>914</v>
      </c>
      <c r="H38" s="9">
        <v>132</v>
      </c>
      <c r="I38" s="10" t="s">
        <v>915</v>
      </c>
      <c r="J38" s="10" t="s">
        <v>60</v>
      </c>
      <c r="K38" s="9">
        <v>0</v>
      </c>
      <c r="L38" s="10" t="s">
        <v>60</v>
      </c>
      <c r="M38" s="9">
        <v>0</v>
      </c>
      <c r="N38" s="9" t="s">
        <v>101</v>
      </c>
      <c r="O38" s="10" t="s">
        <v>916</v>
      </c>
      <c r="P38" s="10" t="s">
        <v>917</v>
      </c>
      <c r="Q38" s="9">
        <v>1</v>
      </c>
      <c r="R38" s="10"/>
      <c r="S38" s="10"/>
      <c r="T38" s="9"/>
      <c r="U38" s="9"/>
    </row>
    <row r="39" spans="1:21" ht="52.8" x14ac:dyDescent="0.3">
      <c r="A39" s="13" t="s">
        <v>918</v>
      </c>
      <c r="B39" s="14">
        <v>9</v>
      </c>
      <c r="C39" s="9" t="s">
        <v>238</v>
      </c>
      <c r="D39" s="9" t="s">
        <v>565</v>
      </c>
      <c r="E39" s="9" t="s">
        <v>881</v>
      </c>
      <c r="F39" s="9" t="s">
        <v>919</v>
      </c>
      <c r="G39" s="9" t="s">
        <v>920</v>
      </c>
      <c r="H39" s="9">
        <v>133</v>
      </c>
      <c r="I39" s="10" t="s">
        <v>921</v>
      </c>
      <c r="J39" s="10" t="s">
        <v>922</v>
      </c>
      <c r="K39" s="9">
        <v>3</v>
      </c>
      <c r="L39" s="10" t="s">
        <v>923</v>
      </c>
      <c r="M39" s="9">
        <v>4</v>
      </c>
      <c r="N39" s="9" t="s">
        <v>62</v>
      </c>
      <c r="O39" s="10" t="s">
        <v>924</v>
      </c>
      <c r="P39" s="10" t="s">
        <v>925</v>
      </c>
      <c r="Q39" s="9">
        <v>2</v>
      </c>
      <c r="R39" s="10"/>
      <c r="S39" s="10"/>
      <c r="T39" s="9"/>
      <c r="U39" s="9"/>
    </row>
    <row r="40" spans="1:21" ht="79.2" x14ac:dyDescent="0.3">
      <c r="A40" s="13" t="s">
        <v>926</v>
      </c>
      <c r="B40" s="14">
        <v>9</v>
      </c>
      <c r="C40" s="9" t="s">
        <v>238</v>
      </c>
      <c r="D40" s="9" t="s">
        <v>565</v>
      </c>
      <c r="E40" s="9" t="s">
        <v>881</v>
      </c>
      <c r="F40" s="9" t="s">
        <v>919</v>
      </c>
      <c r="G40" s="9" t="s">
        <v>927</v>
      </c>
      <c r="H40" s="9">
        <v>134</v>
      </c>
      <c r="I40" s="10" t="s">
        <v>928</v>
      </c>
      <c r="J40" s="10" t="s">
        <v>929</v>
      </c>
      <c r="K40" s="9">
        <v>1</v>
      </c>
      <c r="L40" s="10" t="s">
        <v>930</v>
      </c>
      <c r="M40" s="9">
        <v>3</v>
      </c>
      <c r="N40" s="9" t="s">
        <v>62</v>
      </c>
      <c r="O40" s="10" t="s">
        <v>931</v>
      </c>
      <c r="P40" s="10" t="s">
        <v>60</v>
      </c>
      <c r="Q40" s="9">
        <v>0</v>
      </c>
      <c r="R40" s="10"/>
      <c r="S40" s="10"/>
      <c r="T40" s="9"/>
      <c r="U40" s="9"/>
    </row>
    <row r="41" spans="1:21" ht="52.8" x14ac:dyDescent="0.3">
      <c r="A41" s="13" t="s">
        <v>932</v>
      </c>
      <c r="B41" s="14">
        <v>9</v>
      </c>
      <c r="C41" s="9" t="s">
        <v>238</v>
      </c>
      <c r="D41" s="9" t="s">
        <v>565</v>
      </c>
      <c r="E41" s="9" t="s">
        <v>881</v>
      </c>
      <c r="F41" s="9" t="s">
        <v>919</v>
      </c>
      <c r="G41" s="9" t="s">
        <v>933</v>
      </c>
      <c r="H41" s="9">
        <v>135</v>
      </c>
      <c r="I41" s="10" t="s">
        <v>934</v>
      </c>
      <c r="J41" s="10" t="s">
        <v>935</v>
      </c>
      <c r="K41" s="9">
        <v>3</v>
      </c>
      <c r="L41" s="10" t="s">
        <v>936</v>
      </c>
      <c r="M41" s="9">
        <v>4</v>
      </c>
      <c r="N41" s="9" t="s">
        <v>62</v>
      </c>
      <c r="O41" s="10" t="s">
        <v>937</v>
      </c>
      <c r="P41" s="10" t="s">
        <v>938</v>
      </c>
      <c r="Q41" s="9">
        <v>3</v>
      </c>
      <c r="R41" s="10"/>
      <c r="S41" s="10"/>
      <c r="T41" s="9"/>
      <c r="U41" s="9"/>
    </row>
    <row r="42" spans="1:21" ht="66" x14ac:dyDescent="0.3">
      <c r="A42" s="13" t="s">
        <v>939</v>
      </c>
      <c r="B42" s="14">
        <v>9</v>
      </c>
      <c r="C42" s="9" t="s">
        <v>238</v>
      </c>
      <c r="D42" s="9" t="s">
        <v>565</v>
      </c>
      <c r="E42" s="9" t="s">
        <v>881</v>
      </c>
      <c r="F42" s="9" t="s">
        <v>919</v>
      </c>
      <c r="G42" s="9" t="s">
        <v>940</v>
      </c>
      <c r="H42" s="9">
        <v>136</v>
      </c>
      <c r="I42" s="10" t="s">
        <v>941</v>
      </c>
      <c r="J42" s="10" t="s">
        <v>60</v>
      </c>
      <c r="K42" s="9">
        <v>0</v>
      </c>
      <c r="L42" s="10" t="s">
        <v>60</v>
      </c>
      <c r="M42" s="9">
        <v>0</v>
      </c>
      <c r="N42" s="9" t="s">
        <v>62</v>
      </c>
      <c r="O42" s="10" t="s">
        <v>942</v>
      </c>
      <c r="P42" s="10" t="s">
        <v>60</v>
      </c>
      <c r="Q42" s="9">
        <v>0</v>
      </c>
      <c r="R42" s="10" t="s">
        <v>943</v>
      </c>
      <c r="S42" s="10"/>
      <c r="T42" s="9"/>
      <c r="U42" s="9"/>
    </row>
    <row r="43" spans="1:21" ht="92.4" x14ac:dyDescent="0.3">
      <c r="A43" s="13" t="s">
        <v>944</v>
      </c>
      <c r="B43" s="14">
        <v>9</v>
      </c>
      <c r="C43" s="9" t="s">
        <v>238</v>
      </c>
      <c r="D43" s="9" t="s">
        <v>565</v>
      </c>
      <c r="E43" s="9" t="s">
        <v>881</v>
      </c>
      <c r="F43" s="9" t="s">
        <v>945</v>
      </c>
      <c r="G43" s="9" t="s">
        <v>946</v>
      </c>
      <c r="H43" s="9">
        <v>137</v>
      </c>
      <c r="I43" s="10" t="s">
        <v>947</v>
      </c>
      <c r="J43" s="10" t="s">
        <v>60</v>
      </c>
      <c r="K43" s="9">
        <v>0</v>
      </c>
      <c r="L43" s="10" t="s">
        <v>60</v>
      </c>
      <c r="M43" s="9">
        <v>0</v>
      </c>
      <c r="N43" s="9" t="s">
        <v>62</v>
      </c>
      <c r="O43" s="10" t="s">
        <v>948</v>
      </c>
      <c r="P43" s="10" t="s">
        <v>949</v>
      </c>
      <c r="Q43" s="9">
        <v>2</v>
      </c>
      <c r="R43" s="10"/>
      <c r="S43" s="10"/>
      <c r="T43" s="9"/>
      <c r="U43" s="9"/>
    </row>
    <row r="44" spans="1:21" ht="39.6" x14ac:dyDescent="0.3">
      <c r="A44" s="13" t="s">
        <v>950</v>
      </c>
      <c r="B44" s="14">
        <v>9</v>
      </c>
      <c r="C44" s="9" t="s">
        <v>238</v>
      </c>
      <c r="D44" s="9" t="s">
        <v>565</v>
      </c>
      <c r="E44" s="9" t="s">
        <v>881</v>
      </c>
      <c r="F44" s="9" t="s">
        <v>945</v>
      </c>
      <c r="G44" s="9" t="s">
        <v>951</v>
      </c>
      <c r="H44" s="9">
        <v>138</v>
      </c>
      <c r="I44" s="10" t="s">
        <v>952</v>
      </c>
      <c r="J44" s="10" t="s">
        <v>953</v>
      </c>
      <c r="K44" s="9">
        <v>3</v>
      </c>
      <c r="L44" s="10" t="s">
        <v>954</v>
      </c>
      <c r="M44" s="9">
        <v>3</v>
      </c>
      <c r="N44" s="9" t="s">
        <v>62</v>
      </c>
      <c r="O44" s="10" t="s">
        <v>955</v>
      </c>
      <c r="P44" s="10" t="s">
        <v>60</v>
      </c>
      <c r="Q44" s="9">
        <v>0</v>
      </c>
      <c r="R44" s="10"/>
      <c r="S44" s="10"/>
      <c r="T44" s="9"/>
      <c r="U44" s="9"/>
    </row>
    <row r="45" spans="1:21" ht="92.4" x14ac:dyDescent="0.3">
      <c r="A45" s="13" t="s">
        <v>956</v>
      </c>
      <c r="B45" s="14">
        <v>9</v>
      </c>
      <c r="C45" s="9" t="s">
        <v>238</v>
      </c>
      <c r="D45" s="9" t="s">
        <v>565</v>
      </c>
      <c r="E45" s="9" t="s">
        <v>881</v>
      </c>
      <c r="F45" s="9" t="s">
        <v>945</v>
      </c>
      <c r="G45" s="9" t="s">
        <v>957</v>
      </c>
      <c r="H45" s="9">
        <v>139</v>
      </c>
      <c r="I45" s="10" t="s">
        <v>958</v>
      </c>
      <c r="J45" s="10" t="s">
        <v>959</v>
      </c>
      <c r="K45" s="9">
        <v>5</v>
      </c>
      <c r="L45" s="10" t="s">
        <v>960</v>
      </c>
      <c r="M45" s="9">
        <v>6</v>
      </c>
      <c r="N45" s="9" t="s">
        <v>62</v>
      </c>
      <c r="O45" s="10" t="s">
        <v>961</v>
      </c>
      <c r="P45" s="10" t="s">
        <v>962</v>
      </c>
      <c r="Q45" s="9">
        <v>2</v>
      </c>
      <c r="R45" s="10" t="s">
        <v>963</v>
      </c>
      <c r="S45" s="10" t="s">
        <v>964</v>
      </c>
      <c r="T45" s="9"/>
      <c r="U45" s="9" t="s">
        <v>965</v>
      </c>
    </row>
    <row r="46" spans="1:21" ht="52.8" x14ac:dyDescent="0.3">
      <c r="A46" s="13" t="s">
        <v>966</v>
      </c>
      <c r="B46" s="14">
        <v>9</v>
      </c>
      <c r="C46" s="9" t="s">
        <v>238</v>
      </c>
      <c r="D46" s="9" t="s">
        <v>565</v>
      </c>
      <c r="E46" s="9" t="s">
        <v>881</v>
      </c>
      <c r="F46" s="9" t="s">
        <v>945</v>
      </c>
      <c r="G46" s="9" t="s">
        <v>967</v>
      </c>
      <c r="H46" s="9">
        <v>140</v>
      </c>
      <c r="I46" s="10" t="s">
        <v>968</v>
      </c>
      <c r="J46" s="10" t="s">
        <v>60</v>
      </c>
      <c r="K46" s="9">
        <v>0</v>
      </c>
      <c r="L46" s="10" t="s">
        <v>969</v>
      </c>
      <c r="M46" s="9">
        <v>3</v>
      </c>
      <c r="N46" s="9" t="s">
        <v>126</v>
      </c>
      <c r="O46" s="10" t="s">
        <v>970</v>
      </c>
      <c r="P46" s="10" t="s">
        <v>971</v>
      </c>
      <c r="Q46" s="9">
        <v>1</v>
      </c>
      <c r="R46" s="10"/>
      <c r="S46" s="10"/>
      <c r="T46" s="9"/>
      <c r="U46" s="9"/>
    </row>
    <row r="47" spans="1:21" ht="39.6" x14ac:dyDescent="0.3">
      <c r="A47" s="13" t="s">
        <v>972</v>
      </c>
      <c r="B47" s="14">
        <v>9</v>
      </c>
      <c r="C47" s="9" t="s">
        <v>238</v>
      </c>
      <c r="D47" s="9" t="s">
        <v>565</v>
      </c>
      <c r="E47" s="9" t="s">
        <v>881</v>
      </c>
      <c r="F47" s="9" t="s">
        <v>973</v>
      </c>
      <c r="G47" s="9" t="s">
        <v>974</v>
      </c>
      <c r="H47" s="9">
        <v>141</v>
      </c>
      <c r="I47" s="10" t="s">
        <v>975</v>
      </c>
      <c r="J47" s="10" t="s">
        <v>60</v>
      </c>
      <c r="K47" s="9">
        <v>0</v>
      </c>
      <c r="L47" s="10" t="s">
        <v>60</v>
      </c>
      <c r="M47" s="9">
        <v>0</v>
      </c>
      <c r="N47" s="9" t="s">
        <v>87</v>
      </c>
      <c r="O47" s="10" t="s">
        <v>87</v>
      </c>
      <c r="P47" s="10" t="s">
        <v>60</v>
      </c>
      <c r="Q47" s="9">
        <v>0</v>
      </c>
      <c r="R47" s="10"/>
      <c r="S47" s="10"/>
      <c r="T47" s="9"/>
      <c r="U47" s="9"/>
    </row>
    <row r="48" spans="1:21" ht="39.6" x14ac:dyDescent="0.3">
      <c r="A48" s="13" t="s">
        <v>976</v>
      </c>
      <c r="B48" s="14">
        <v>9</v>
      </c>
      <c r="C48" s="9" t="s">
        <v>238</v>
      </c>
      <c r="D48" s="9" t="s">
        <v>565</v>
      </c>
      <c r="E48" s="9" t="s">
        <v>881</v>
      </c>
      <c r="F48" s="9" t="s">
        <v>973</v>
      </c>
      <c r="G48" s="9" t="s">
        <v>977</v>
      </c>
      <c r="H48" s="9">
        <v>142</v>
      </c>
      <c r="I48" s="10" t="s">
        <v>978</v>
      </c>
      <c r="J48" s="10" t="s">
        <v>60</v>
      </c>
      <c r="K48" s="9">
        <v>0</v>
      </c>
      <c r="L48" s="10" t="s">
        <v>60</v>
      </c>
      <c r="M48" s="9">
        <v>0</v>
      </c>
      <c r="N48" s="9" t="s">
        <v>76</v>
      </c>
      <c r="O48" s="10" t="s">
        <v>621</v>
      </c>
      <c r="P48" s="10" t="s">
        <v>60</v>
      </c>
      <c r="Q48" s="9">
        <v>0</v>
      </c>
      <c r="R48" s="10"/>
      <c r="S48" s="10"/>
      <c r="T48" s="9"/>
      <c r="U48" s="9"/>
    </row>
    <row r="49" spans="1:21" ht="52.8" x14ac:dyDescent="0.3">
      <c r="A49" s="13" t="s">
        <v>979</v>
      </c>
      <c r="B49" s="14">
        <v>9</v>
      </c>
      <c r="C49" s="9" t="s">
        <v>238</v>
      </c>
      <c r="D49" s="9" t="s">
        <v>565</v>
      </c>
      <c r="E49" s="9" t="s">
        <v>881</v>
      </c>
      <c r="F49" s="9" t="s">
        <v>973</v>
      </c>
      <c r="G49" s="9" t="s">
        <v>980</v>
      </c>
      <c r="H49" s="9">
        <v>143</v>
      </c>
      <c r="I49" s="10" t="s">
        <v>981</v>
      </c>
      <c r="J49" s="10" t="s">
        <v>60</v>
      </c>
      <c r="K49" s="9">
        <v>0</v>
      </c>
      <c r="L49" s="10" t="s">
        <v>982</v>
      </c>
      <c r="M49" s="9">
        <v>3</v>
      </c>
      <c r="N49" s="9" t="s">
        <v>62</v>
      </c>
      <c r="O49" s="10" t="s">
        <v>983</v>
      </c>
      <c r="P49" s="10" t="s">
        <v>60</v>
      </c>
      <c r="Q49" s="9">
        <v>0</v>
      </c>
      <c r="R49" s="10"/>
      <c r="S49" s="10"/>
      <c r="T49" s="9"/>
      <c r="U49" s="9"/>
    </row>
    <row r="50" spans="1:21" ht="52.8" x14ac:dyDescent="0.3">
      <c r="A50" s="13" t="s">
        <v>984</v>
      </c>
      <c r="B50" s="14">
        <v>9</v>
      </c>
      <c r="C50" s="9" t="s">
        <v>238</v>
      </c>
      <c r="D50" s="9" t="s">
        <v>565</v>
      </c>
      <c r="E50" s="9" t="s">
        <v>881</v>
      </c>
      <c r="F50" s="9" t="s">
        <v>973</v>
      </c>
      <c r="G50" s="9" t="s">
        <v>985</v>
      </c>
      <c r="H50" s="9">
        <v>144</v>
      </c>
      <c r="I50" s="10" t="s">
        <v>986</v>
      </c>
      <c r="J50" s="10" t="s">
        <v>60</v>
      </c>
      <c r="K50" s="9">
        <v>0</v>
      </c>
      <c r="L50" s="10" t="s">
        <v>60</v>
      </c>
      <c r="M50" s="9">
        <v>0</v>
      </c>
      <c r="N50" s="9" t="s">
        <v>126</v>
      </c>
      <c r="O50" s="10" t="s">
        <v>987</v>
      </c>
      <c r="P50" s="10" t="s">
        <v>60</v>
      </c>
      <c r="Q50" s="9">
        <v>0</v>
      </c>
      <c r="R50" s="10"/>
      <c r="S50" s="10"/>
      <c r="T50" s="9"/>
      <c r="U50" s="9"/>
    </row>
    <row r="51" spans="1:21" ht="39.6" x14ac:dyDescent="0.3">
      <c r="A51" s="13" t="s">
        <v>988</v>
      </c>
      <c r="B51" s="14">
        <v>9</v>
      </c>
      <c r="C51" s="9" t="s">
        <v>238</v>
      </c>
      <c r="D51" s="9" t="s">
        <v>565</v>
      </c>
      <c r="E51" s="9" t="s">
        <v>881</v>
      </c>
      <c r="F51" s="9" t="s">
        <v>973</v>
      </c>
      <c r="G51" s="9" t="s">
        <v>989</v>
      </c>
      <c r="H51" s="9">
        <v>145</v>
      </c>
      <c r="I51" s="10" t="s">
        <v>990</v>
      </c>
      <c r="J51" s="10" t="s">
        <v>60</v>
      </c>
      <c r="K51" s="9">
        <v>0</v>
      </c>
      <c r="L51" s="10" t="s">
        <v>60</v>
      </c>
      <c r="M51" s="9">
        <v>0</v>
      </c>
      <c r="N51" s="9" t="s">
        <v>76</v>
      </c>
      <c r="O51" s="10" t="s">
        <v>991</v>
      </c>
      <c r="P51" s="10" t="s">
        <v>60</v>
      </c>
      <c r="Q51" s="9">
        <v>0</v>
      </c>
      <c r="R51" s="10"/>
      <c r="S51" s="10"/>
      <c r="T51" s="9"/>
      <c r="U51" s="9"/>
    </row>
    <row r="52" spans="1:21" ht="79.2" x14ac:dyDescent="0.3">
      <c r="A52" s="13" t="s">
        <v>992</v>
      </c>
      <c r="B52" s="14">
        <v>9</v>
      </c>
      <c r="C52" s="9" t="s">
        <v>238</v>
      </c>
      <c r="D52" s="9" t="s">
        <v>565</v>
      </c>
      <c r="E52" s="9" t="s">
        <v>881</v>
      </c>
      <c r="F52" s="9" t="s">
        <v>973</v>
      </c>
      <c r="G52" s="9" t="s">
        <v>993</v>
      </c>
      <c r="H52" s="9">
        <v>146</v>
      </c>
      <c r="I52" s="10" t="s">
        <v>994</v>
      </c>
      <c r="J52" s="10" t="s">
        <v>995</v>
      </c>
      <c r="K52" s="9">
        <v>4</v>
      </c>
      <c r="L52" s="10" t="s">
        <v>996</v>
      </c>
      <c r="M52" s="9">
        <v>6</v>
      </c>
      <c r="N52" s="9" t="s">
        <v>62</v>
      </c>
      <c r="O52" s="10" t="s">
        <v>997</v>
      </c>
      <c r="P52" s="10" t="s">
        <v>998</v>
      </c>
      <c r="Q52" s="9">
        <v>2</v>
      </c>
      <c r="R52" s="10" t="s">
        <v>999</v>
      </c>
      <c r="S52" s="10"/>
      <c r="T52" s="9"/>
      <c r="U52" s="9" t="s">
        <v>1000</v>
      </c>
    </row>
  </sheetData>
  <autoFilter ref="A1:U52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7" customWidth="1"/>
    <col min="3" max="4" width="12" customWidth="1"/>
    <col min="5" max="5" width="30" customWidth="1"/>
    <col min="6" max="6" width="32" customWidth="1"/>
    <col min="7" max="7" width="38" customWidth="1"/>
    <col min="8" max="8" width="9" customWidth="1"/>
    <col min="9" max="10" width="70" customWidth="1"/>
    <col min="11" max="11" width="9" customWidth="1"/>
    <col min="12" max="12" width="70" customWidth="1"/>
    <col min="13" max="13" width="9" customWidth="1"/>
    <col min="14" max="14" width="14" customWidth="1"/>
    <col min="15" max="15" width="55" customWidth="1"/>
    <col min="16" max="16" width="60" customWidth="1"/>
    <col min="17" max="17" width="9" customWidth="1"/>
    <col min="18" max="18" width="50" customWidth="1"/>
    <col min="19" max="19" width="45" customWidth="1"/>
    <col min="20" max="21" width="26" customWidth="1"/>
  </cols>
  <sheetData>
    <row r="1" spans="1:21" ht="30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</row>
    <row r="2" spans="1:21" ht="52.8" x14ac:dyDescent="0.3">
      <c r="A2" s="15" t="s">
        <v>1001</v>
      </c>
      <c r="B2" s="16">
        <v>10</v>
      </c>
      <c r="C2" s="9" t="s">
        <v>54</v>
      </c>
      <c r="D2" s="9" t="s">
        <v>381</v>
      </c>
      <c r="E2" s="9" t="s">
        <v>1002</v>
      </c>
      <c r="F2" s="9" t="s">
        <v>1003</v>
      </c>
      <c r="G2" s="9" t="s">
        <v>1004</v>
      </c>
      <c r="H2" s="9">
        <v>147</v>
      </c>
      <c r="I2" s="10" t="s">
        <v>1005</v>
      </c>
      <c r="J2" s="10" t="s">
        <v>1006</v>
      </c>
      <c r="K2" s="9">
        <v>4</v>
      </c>
      <c r="L2" s="10" t="s">
        <v>1007</v>
      </c>
      <c r="M2" s="9">
        <v>3</v>
      </c>
      <c r="N2" s="9" t="s">
        <v>62</v>
      </c>
      <c r="O2" s="10" t="s">
        <v>1008</v>
      </c>
      <c r="P2" s="10" t="s">
        <v>1009</v>
      </c>
      <c r="Q2" s="9">
        <v>1</v>
      </c>
      <c r="R2" s="10"/>
      <c r="S2" s="10"/>
      <c r="T2" s="9"/>
      <c r="U2" s="9"/>
    </row>
    <row r="3" spans="1:21" ht="52.8" x14ac:dyDescent="0.3">
      <c r="A3" s="15" t="s">
        <v>404</v>
      </c>
      <c r="B3" s="16">
        <v>10</v>
      </c>
      <c r="C3" s="9" t="s">
        <v>54</v>
      </c>
      <c r="D3" s="9" t="s">
        <v>381</v>
      </c>
      <c r="E3" s="9" t="s">
        <v>1002</v>
      </c>
      <c r="F3" s="9" t="s">
        <v>1003</v>
      </c>
      <c r="G3" s="9" t="s">
        <v>1010</v>
      </c>
      <c r="H3" s="9">
        <v>148</v>
      </c>
      <c r="I3" s="10" t="s">
        <v>1011</v>
      </c>
      <c r="J3" s="10" t="s">
        <v>1012</v>
      </c>
      <c r="K3" s="9">
        <v>2</v>
      </c>
      <c r="L3" s="10" t="s">
        <v>1013</v>
      </c>
      <c r="M3" s="9">
        <v>4</v>
      </c>
      <c r="N3" s="9" t="s">
        <v>62</v>
      </c>
      <c r="O3" s="10" t="s">
        <v>607</v>
      </c>
      <c r="P3" s="10" t="s">
        <v>60</v>
      </c>
      <c r="Q3" s="9">
        <v>0</v>
      </c>
      <c r="R3" s="10"/>
      <c r="S3" s="10"/>
      <c r="T3" s="9" t="s">
        <v>397</v>
      </c>
      <c r="U3" s="9"/>
    </row>
    <row r="4" spans="1:21" ht="92.4" x14ac:dyDescent="0.3">
      <c r="A4" s="15" t="s">
        <v>421</v>
      </c>
      <c r="B4" s="16">
        <v>10</v>
      </c>
      <c r="C4" s="9" t="s">
        <v>54</v>
      </c>
      <c r="D4" s="9" t="s">
        <v>381</v>
      </c>
      <c r="E4" s="9" t="s">
        <v>1002</v>
      </c>
      <c r="F4" s="9" t="s">
        <v>1003</v>
      </c>
      <c r="G4" s="9" t="s">
        <v>1014</v>
      </c>
      <c r="H4" s="9">
        <v>149</v>
      </c>
      <c r="I4" s="10" t="s">
        <v>1015</v>
      </c>
      <c r="J4" s="10" t="s">
        <v>1016</v>
      </c>
      <c r="K4" s="9">
        <v>4</v>
      </c>
      <c r="L4" s="10" t="s">
        <v>1017</v>
      </c>
      <c r="M4" s="9">
        <v>4</v>
      </c>
      <c r="N4" s="9" t="s">
        <v>62</v>
      </c>
      <c r="O4" s="10" t="s">
        <v>1018</v>
      </c>
      <c r="P4" s="10" t="s">
        <v>1019</v>
      </c>
      <c r="Q4" s="9">
        <v>2</v>
      </c>
      <c r="R4" s="10"/>
      <c r="S4" s="10"/>
      <c r="T4" s="9" t="s">
        <v>1020</v>
      </c>
      <c r="U4" s="9"/>
    </row>
    <row r="5" spans="1:21" ht="92.4" x14ac:dyDescent="0.3">
      <c r="A5" s="15" t="s">
        <v>429</v>
      </c>
      <c r="B5" s="16">
        <v>10</v>
      </c>
      <c r="C5" s="9" t="s">
        <v>54</v>
      </c>
      <c r="D5" s="9" t="s">
        <v>381</v>
      </c>
      <c r="E5" s="9" t="s">
        <v>1002</v>
      </c>
      <c r="F5" s="9" t="s">
        <v>1003</v>
      </c>
      <c r="G5" s="9" t="s">
        <v>1021</v>
      </c>
      <c r="H5" s="9">
        <v>150</v>
      </c>
      <c r="I5" s="10" t="s">
        <v>1022</v>
      </c>
      <c r="J5" s="10" t="s">
        <v>1023</v>
      </c>
      <c r="K5" s="9">
        <v>5</v>
      </c>
      <c r="L5" s="10" t="s">
        <v>1024</v>
      </c>
      <c r="M5" s="9">
        <v>6</v>
      </c>
      <c r="N5" s="9" t="s">
        <v>62</v>
      </c>
      <c r="O5" s="10" t="s">
        <v>1025</v>
      </c>
      <c r="P5" s="10" t="s">
        <v>1026</v>
      </c>
      <c r="Q5" s="9">
        <v>3</v>
      </c>
      <c r="R5" s="10"/>
      <c r="S5" s="10"/>
      <c r="T5" s="9" t="s">
        <v>422</v>
      </c>
      <c r="U5" s="9"/>
    </row>
    <row r="6" spans="1:21" ht="52.8" x14ac:dyDescent="0.3">
      <c r="A6" s="15" t="s">
        <v>1027</v>
      </c>
      <c r="B6" s="16">
        <v>10</v>
      </c>
      <c r="C6" s="9" t="s">
        <v>54</v>
      </c>
      <c r="D6" s="9" t="s">
        <v>381</v>
      </c>
      <c r="E6" s="9" t="s">
        <v>1002</v>
      </c>
      <c r="F6" s="9" t="s">
        <v>1028</v>
      </c>
      <c r="G6" s="9" t="s">
        <v>1029</v>
      </c>
      <c r="H6" s="9">
        <v>151</v>
      </c>
      <c r="I6" s="10" t="s">
        <v>1030</v>
      </c>
      <c r="J6" s="10" t="s">
        <v>60</v>
      </c>
      <c r="K6" s="9">
        <v>0</v>
      </c>
      <c r="L6" s="10" t="s">
        <v>60</v>
      </c>
      <c r="M6" s="9">
        <v>0</v>
      </c>
      <c r="N6" s="9" t="s">
        <v>76</v>
      </c>
      <c r="O6" s="10" t="s">
        <v>621</v>
      </c>
      <c r="P6" s="10" t="s">
        <v>60</v>
      </c>
      <c r="Q6" s="9">
        <v>0</v>
      </c>
      <c r="R6" s="10"/>
      <c r="S6" s="10"/>
      <c r="T6" s="9"/>
      <c r="U6" s="9"/>
    </row>
    <row r="7" spans="1:21" ht="52.8" x14ac:dyDescent="0.3">
      <c r="A7" s="15" t="s">
        <v>1031</v>
      </c>
      <c r="B7" s="16">
        <v>10</v>
      </c>
      <c r="C7" s="9" t="s">
        <v>54</v>
      </c>
      <c r="D7" s="9" t="s">
        <v>381</v>
      </c>
      <c r="E7" s="9" t="s">
        <v>1002</v>
      </c>
      <c r="F7" s="9" t="s">
        <v>1028</v>
      </c>
      <c r="G7" s="9" t="s">
        <v>1032</v>
      </c>
      <c r="H7" s="9">
        <v>152</v>
      </c>
      <c r="I7" s="10" t="s">
        <v>1033</v>
      </c>
      <c r="J7" s="10" t="s">
        <v>60</v>
      </c>
      <c r="K7" s="9">
        <v>0</v>
      </c>
      <c r="L7" s="10" t="s">
        <v>1034</v>
      </c>
      <c r="M7" s="9">
        <v>2</v>
      </c>
      <c r="N7" s="9" t="s">
        <v>62</v>
      </c>
      <c r="O7" s="10" t="s">
        <v>1035</v>
      </c>
      <c r="P7" s="10" t="s">
        <v>1036</v>
      </c>
      <c r="Q7" s="9">
        <v>2</v>
      </c>
      <c r="R7" s="10"/>
      <c r="S7" s="10"/>
      <c r="T7" s="9"/>
      <c r="U7" s="9"/>
    </row>
    <row r="8" spans="1:21" ht="52.8" x14ac:dyDescent="0.3">
      <c r="A8" s="15" t="s">
        <v>496</v>
      </c>
      <c r="B8" s="16">
        <v>10</v>
      </c>
      <c r="C8" s="9" t="s">
        <v>54</v>
      </c>
      <c r="D8" s="9" t="s">
        <v>381</v>
      </c>
      <c r="E8" s="9" t="s">
        <v>1002</v>
      </c>
      <c r="F8" s="9" t="s">
        <v>1028</v>
      </c>
      <c r="G8" s="9" t="s">
        <v>1037</v>
      </c>
      <c r="H8" s="9">
        <v>153</v>
      </c>
      <c r="I8" s="10" t="s">
        <v>1038</v>
      </c>
      <c r="J8" s="10" t="s">
        <v>60</v>
      </c>
      <c r="K8" s="9">
        <v>0</v>
      </c>
      <c r="L8" s="10" t="s">
        <v>60</v>
      </c>
      <c r="M8" s="9">
        <v>0</v>
      </c>
      <c r="N8" s="9" t="s">
        <v>62</v>
      </c>
      <c r="O8" s="10" t="s">
        <v>607</v>
      </c>
      <c r="P8" s="10" t="s">
        <v>60</v>
      </c>
      <c r="Q8" s="9">
        <v>0</v>
      </c>
      <c r="R8" s="10"/>
      <c r="S8" s="10"/>
      <c r="T8" s="9" t="s">
        <v>489</v>
      </c>
      <c r="U8" s="9"/>
    </row>
    <row r="9" spans="1:21" ht="52.8" x14ac:dyDescent="0.3">
      <c r="A9" s="15" t="s">
        <v>1039</v>
      </c>
      <c r="B9" s="16">
        <v>10</v>
      </c>
      <c r="C9" s="9" t="s">
        <v>54</v>
      </c>
      <c r="D9" s="9" t="s">
        <v>381</v>
      </c>
      <c r="E9" s="9" t="s">
        <v>1002</v>
      </c>
      <c r="F9" s="9" t="s">
        <v>1028</v>
      </c>
      <c r="G9" s="9" t="s">
        <v>1040</v>
      </c>
      <c r="H9" s="9">
        <v>154</v>
      </c>
      <c r="I9" s="10" t="s">
        <v>1041</v>
      </c>
      <c r="J9" s="10" t="s">
        <v>1042</v>
      </c>
      <c r="K9" s="9">
        <v>4</v>
      </c>
      <c r="L9" s="10" t="s">
        <v>1043</v>
      </c>
      <c r="M9" s="9">
        <v>4</v>
      </c>
      <c r="N9" s="9" t="s">
        <v>126</v>
      </c>
      <c r="O9" s="10" t="s">
        <v>538</v>
      </c>
      <c r="P9" s="10" t="s">
        <v>60</v>
      </c>
      <c r="Q9" s="9">
        <v>0</v>
      </c>
      <c r="R9" s="10"/>
      <c r="S9" s="10"/>
      <c r="T9" s="9" t="s">
        <v>466</v>
      </c>
      <c r="U9" s="9" t="s">
        <v>1044</v>
      </c>
    </row>
    <row r="10" spans="1:21" ht="105.6" x14ac:dyDescent="0.3">
      <c r="A10" s="15" t="s">
        <v>504</v>
      </c>
      <c r="B10" s="16">
        <v>10</v>
      </c>
      <c r="C10" s="9" t="s">
        <v>54</v>
      </c>
      <c r="D10" s="9" t="s">
        <v>381</v>
      </c>
      <c r="E10" s="9" t="s">
        <v>1002</v>
      </c>
      <c r="F10" s="9" t="s">
        <v>1028</v>
      </c>
      <c r="G10" s="9" t="s">
        <v>498</v>
      </c>
      <c r="H10" s="9">
        <v>155</v>
      </c>
      <c r="I10" s="10" t="s">
        <v>1045</v>
      </c>
      <c r="J10" s="10" t="s">
        <v>1046</v>
      </c>
      <c r="K10" s="9">
        <v>6</v>
      </c>
      <c r="L10" s="10" t="s">
        <v>1047</v>
      </c>
      <c r="M10" s="9">
        <v>6</v>
      </c>
      <c r="N10" s="9" t="s">
        <v>62</v>
      </c>
      <c r="O10" s="10" t="s">
        <v>1048</v>
      </c>
      <c r="P10" s="10" t="s">
        <v>1049</v>
      </c>
      <c r="Q10" s="9">
        <v>3</v>
      </c>
      <c r="R10" s="10"/>
      <c r="S10" s="10"/>
      <c r="T10" s="9" t="s">
        <v>497</v>
      </c>
      <c r="U10" s="9"/>
    </row>
    <row r="11" spans="1:21" ht="92.4" x14ac:dyDescent="0.3">
      <c r="A11" s="15" t="s">
        <v>1050</v>
      </c>
      <c r="B11" s="16">
        <v>10</v>
      </c>
      <c r="C11" s="9" t="s">
        <v>54</v>
      </c>
      <c r="D11" s="9" t="s">
        <v>381</v>
      </c>
      <c r="E11" s="9" t="s">
        <v>1002</v>
      </c>
      <c r="F11" s="9" t="s">
        <v>1028</v>
      </c>
      <c r="G11" s="9" t="s">
        <v>1051</v>
      </c>
      <c r="H11" s="9">
        <v>156</v>
      </c>
      <c r="I11" s="10" t="s">
        <v>1052</v>
      </c>
      <c r="J11" s="10" t="s">
        <v>1053</v>
      </c>
      <c r="K11" s="9">
        <v>5</v>
      </c>
      <c r="L11" s="10" t="s">
        <v>1054</v>
      </c>
      <c r="M11" s="9">
        <v>6</v>
      </c>
      <c r="N11" s="9" t="s">
        <v>62</v>
      </c>
      <c r="O11" s="10" t="s">
        <v>1055</v>
      </c>
      <c r="P11" s="10" t="s">
        <v>1056</v>
      </c>
      <c r="Q11" s="9">
        <v>3</v>
      </c>
      <c r="R11" s="10" t="s">
        <v>1057</v>
      </c>
      <c r="S11" s="10"/>
      <c r="T11" s="9"/>
      <c r="U11" s="9"/>
    </row>
    <row r="12" spans="1:21" ht="52.8" x14ac:dyDescent="0.3">
      <c r="A12" s="15" t="s">
        <v>512</v>
      </c>
      <c r="B12" s="16">
        <v>10</v>
      </c>
      <c r="C12" s="9" t="s">
        <v>54</v>
      </c>
      <c r="D12" s="9" t="s">
        <v>381</v>
      </c>
      <c r="E12" s="9" t="s">
        <v>1002</v>
      </c>
      <c r="F12" s="9" t="s">
        <v>1028</v>
      </c>
      <c r="G12" s="9" t="s">
        <v>506</v>
      </c>
      <c r="H12" s="9">
        <v>157</v>
      </c>
      <c r="I12" s="10" t="s">
        <v>1058</v>
      </c>
      <c r="J12" s="10" t="s">
        <v>60</v>
      </c>
      <c r="K12" s="9">
        <v>0</v>
      </c>
      <c r="L12" s="10" t="s">
        <v>60</v>
      </c>
      <c r="M12" s="9">
        <v>0</v>
      </c>
      <c r="N12" s="9" t="s">
        <v>62</v>
      </c>
      <c r="O12" s="10" t="s">
        <v>607</v>
      </c>
      <c r="P12" s="10" t="s">
        <v>60</v>
      </c>
      <c r="Q12" s="9">
        <v>0</v>
      </c>
      <c r="R12" s="10"/>
      <c r="S12" s="10"/>
      <c r="T12" s="9" t="s">
        <v>505</v>
      </c>
      <c r="U12" s="9"/>
    </row>
    <row r="13" spans="1:21" ht="92.4" x14ac:dyDescent="0.3">
      <c r="A13" s="15" t="s">
        <v>525</v>
      </c>
      <c r="B13" s="16">
        <v>10</v>
      </c>
      <c r="C13" s="9" t="s">
        <v>54</v>
      </c>
      <c r="D13" s="9" t="s">
        <v>381</v>
      </c>
      <c r="E13" s="9" t="s">
        <v>1002</v>
      </c>
      <c r="F13" s="9" t="s">
        <v>1059</v>
      </c>
      <c r="G13" s="9" t="s">
        <v>1060</v>
      </c>
      <c r="H13" s="9">
        <v>158</v>
      </c>
      <c r="I13" s="10" t="s">
        <v>1061</v>
      </c>
      <c r="J13" s="10" t="s">
        <v>1062</v>
      </c>
      <c r="K13" s="9">
        <v>6</v>
      </c>
      <c r="L13" s="10" t="s">
        <v>1063</v>
      </c>
      <c r="M13" s="9">
        <v>4</v>
      </c>
      <c r="N13" s="9" t="s">
        <v>62</v>
      </c>
      <c r="O13" s="10" t="s">
        <v>1064</v>
      </c>
      <c r="P13" s="10" t="s">
        <v>1065</v>
      </c>
      <c r="Q13" s="9">
        <v>2</v>
      </c>
      <c r="R13" s="10"/>
      <c r="S13" s="10"/>
      <c r="T13" s="9" t="s">
        <v>518</v>
      </c>
      <c r="U13" s="9"/>
    </row>
    <row r="14" spans="1:21" ht="52.8" x14ac:dyDescent="0.3">
      <c r="A14" s="15" t="s">
        <v>547</v>
      </c>
      <c r="B14" s="16">
        <v>10</v>
      </c>
      <c r="C14" s="9" t="s">
        <v>54</v>
      </c>
      <c r="D14" s="9" t="s">
        <v>381</v>
      </c>
      <c r="E14" s="9" t="s">
        <v>1002</v>
      </c>
      <c r="F14" s="9" t="s">
        <v>1059</v>
      </c>
      <c r="G14" s="9" t="s">
        <v>1066</v>
      </c>
      <c r="H14" s="9">
        <v>159</v>
      </c>
      <c r="I14" s="10" t="s">
        <v>1067</v>
      </c>
      <c r="J14" s="10" t="s">
        <v>1068</v>
      </c>
      <c r="K14" s="9">
        <v>3</v>
      </c>
      <c r="L14" s="10" t="s">
        <v>1069</v>
      </c>
      <c r="M14" s="9">
        <v>4</v>
      </c>
      <c r="N14" s="9" t="s">
        <v>62</v>
      </c>
      <c r="O14" s="10" t="s">
        <v>1070</v>
      </c>
      <c r="P14" s="10" t="s">
        <v>60</v>
      </c>
      <c r="Q14" s="9">
        <v>0</v>
      </c>
      <c r="R14" s="10"/>
      <c r="S14" s="10"/>
      <c r="T14" s="9" t="s">
        <v>539</v>
      </c>
      <c r="U14" s="9"/>
    </row>
    <row r="15" spans="1:21" ht="79.2" x14ac:dyDescent="0.3">
      <c r="A15" s="15" t="s">
        <v>555</v>
      </c>
      <c r="B15" s="16">
        <v>10</v>
      </c>
      <c r="C15" s="9" t="s">
        <v>54</v>
      </c>
      <c r="D15" s="9" t="s">
        <v>381</v>
      </c>
      <c r="E15" s="9" t="s">
        <v>1002</v>
      </c>
      <c r="F15" s="9" t="s">
        <v>1059</v>
      </c>
      <c r="G15" s="9" t="s">
        <v>549</v>
      </c>
      <c r="H15" s="9">
        <v>160</v>
      </c>
      <c r="I15" s="10" t="s">
        <v>1071</v>
      </c>
      <c r="J15" s="10" t="s">
        <v>1072</v>
      </c>
      <c r="K15" s="9">
        <v>4</v>
      </c>
      <c r="L15" s="10" t="s">
        <v>1073</v>
      </c>
      <c r="M15" s="9">
        <v>5</v>
      </c>
      <c r="N15" s="9" t="s">
        <v>62</v>
      </c>
      <c r="O15" s="10" t="s">
        <v>1074</v>
      </c>
      <c r="P15" s="10" t="s">
        <v>1075</v>
      </c>
      <c r="Q15" s="9">
        <v>2</v>
      </c>
      <c r="R15" s="10"/>
      <c r="S15" s="10"/>
      <c r="T15" s="9" t="s">
        <v>556</v>
      </c>
      <c r="U15" s="9"/>
    </row>
    <row r="16" spans="1:21" ht="92.4" x14ac:dyDescent="0.3">
      <c r="A16" s="15" t="s">
        <v>533</v>
      </c>
      <c r="B16" s="16">
        <v>10</v>
      </c>
      <c r="C16" s="9" t="s">
        <v>54</v>
      </c>
      <c r="D16" s="9" t="s">
        <v>381</v>
      </c>
      <c r="E16" s="9" t="s">
        <v>1002</v>
      </c>
      <c r="F16" s="9" t="s">
        <v>1059</v>
      </c>
      <c r="G16" s="9" t="s">
        <v>1076</v>
      </c>
      <c r="H16" s="9">
        <v>161</v>
      </c>
      <c r="I16" s="10" t="s">
        <v>1077</v>
      </c>
      <c r="J16" s="10" t="s">
        <v>1078</v>
      </c>
      <c r="K16" s="9">
        <v>6</v>
      </c>
      <c r="L16" s="10" t="s">
        <v>1079</v>
      </c>
      <c r="M16" s="9">
        <v>5</v>
      </c>
      <c r="N16" s="9" t="s">
        <v>62</v>
      </c>
      <c r="O16" s="10" t="s">
        <v>1080</v>
      </c>
      <c r="P16" s="10" t="s">
        <v>1081</v>
      </c>
      <c r="Q16" s="9">
        <v>2</v>
      </c>
      <c r="R16" s="10" t="s">
        <v>1082</v>
      </c>
      <c r="S16" s="10"/>
      <c r="T16" s="9" t="s">
        <v>526</v>
      </c>
      <c r="U16" s="9"/>
    </row>
    <row r="17" spans="1:21" ht="52.8" x14ac:dyDescent="0.3">
      <c r="A17" s="15" t="s">
        <v>368</v>
      </c>
      <c r="B17" s="16">
        <v>10</v>
      </c>
      <c r="C17" s="9" t="s">
        <v>54</v>
      </c>
      <c r="D17" s="9" t="s">
        <v>381</v>
      </c>
      <c r="E17" s="9" t="s">
        <v>1002</v>
      </c>
      <c r="F17" s="9" t="s">
        <v>1083</v>
      </c>
      <c r="G17" s="9" t="s">
        <v>1084</v>
      </c>
      <c r="H17" s="9">
        <v>162</v>
      </c>
      <c r="I17" s="10" t="s">
        <v>1085</v>
      </c>
      <c r="J17" s="10" t="s">
        <v>60</v>
      </c>
      <c r="K17" s="9">
        <v>0</v>
      </c>
      <c r="L17" s="10" t="s">
        <v>60</v>
      </c>
      <c r="M17" s="9">
        <v>0</v>
      </c>
      <c r="N17" s="9" t="s">
        <v>62</v>
      </c>
      <c r="O17" s="10" t="s">
        <v>607</v>
      </c>
      <c r="P17" s="10" t="s">
        <v>60</v>
      </c>
      <c r="Q17" s="9">
        <v>0</v>
      </c>
      <c r="R17" s="10"/>
      <c r="S17" s="10"/>
      <c r="T17" s="9" t="s">
        <v>360</v>
      </c>
      <c r="U17" s="9"/>
    </row>
    <row r="18" spans="1:21" ht="118.8" x14ac:dyDescent="0.3">
      <c r="A18" s="15" t="s">
        <v>571</v>
      </c>
      <c r="B18" s="16">
        <v>10</v>
      </c>
      <c r="C18" s="9" t="s">
        <v>54</v>
      </c>
      <c r="D18" s="9" t="s">
        <v>381</v>
      </c>
      <c r="E18" s="9" t="s">
        <v>1002</v>
      </c>
      <c r="F18" s="9" t="s">
        <v>1083</v>
      </c>
      <c r="G18" s="9" t="s">
        <v>1086</v>
      </c>
      <c r="H18" s="9">
        <v>163</v>
      </c>
      <c r="I18" s="10" t="s">
        <v>1087</v>
      </c>
      <c r="J18" s="10" t="s">
        <v>1088</v>
      </c>
      <c r="K18" s="9">
        <v>9</v>
      </c>
      <c r="L18" s="10" t="s">
        <v>1089</v>
      </c>
      <c r="M18" s="9">
        <v>8</v>
      </c>
      <c r="N18" s="9" t="s">
        <v>62</v>
      </c>
      <c r="O18" s="10" t="s">
        <v>1090</v>
      </c>
      <c r="P18" s="10" t="s">
        <v>1091</v>
      </c>
      <c r="Q18" s="9">
        <v>3</v>
      </c>
      <c r="R18" s="10" t="s">
        <v>1092</v>
      </c>
      <c r="S18" s="10" t="s">
        <v>1093</v>
      </c>
      <c r="T18" s="9" t="s">
        <v>1094</v>
      </c>
      <c r="U18" s="9"/>
    </row>
    <row r="19" spans="1:21" ht="52.8" x14ac:dyDescent="0.3">
      <c r="A19" s="15" t="s">
        <v>104</v>
      </c>
      <c r="B19" s="16">
        <v>10</v>
      </c>
      <c r="C19" s="9" t="s">
        <v>54</v>
      </c>
      <c r="D19" s="9" t="s">
        <v>175</v>
      </c>
      <c r="E19" s="9" t="s">
        <v>1095</v>
      </c>
      <c r="F19" s="9" t="s">
        <v>1096</v>
      </c>
      <c r="G19" s="9" t="s">
        <v>1097</v>
      </c>
      <c r="H19" s="9">
        <v>164</v>
      </c>
      <c r="I19" s="10" t="s">
        <v>1098</v>
      </c>
      <c r="J19" s="10" t="s">
        <v>60</v>
      </c>
      <c r="K19" s="9">
        <v>0</v>
      </c>
      <c r="L19" s="10" t="s">
        <v>60</v>
      </c>
      <c r="M19" s="9">
        <v>0</v>
      </c>
      <c r="N19" s="9" t="s">
        <v>62</v>
      </c>
      <c r="O19" s="10" t="s">
        <v>607</v>
      </c>
      <c r="P19" s="10" t="s">
        <v>1099</v>
      </c>
      <c r="Q19" s="9">
        <v>1</v>
      </c>
      <c r="R19" s="10"/>
      <c r="S19" s="10"/>
      <c r="T19" s="9" t="s">
        <v>97</v>
      </c>
      <c r="U19" s="9"/>
    </row>
    <row r="20" spans="1:21" ht="52.8" x14ac:dyDescent="0.3">
      <c r="A20" s="15" t="s">
        <v>96</v>
      </c>
      <c r="B20" s="16">
        <v>10</v>
      </c>
      <c r="C20" s="9" t="s">
        <v>54</v>
      </c>
      <c r="D20" s="9" t="s">
        <v>175</v>
      </c>
      <c r="E20" s="9" t="s">
        <v>1095</v>
      </c>
      <c r="F20" s="9" t="s">
        <v>1096</v>
      </c>
      <c r="G20" s="9" t="s">
        <v>1100</v>
      </c>
      <c r="H20" s="9">
        <v>165</v>
      </c>
      <c r="I20" s="10" t="s">
        <v>1101</v>
      </c>
      <c r="J20" s="10" t="s">
        <v>1102</v>
      </c>
      <c r="K20" s="9">
        <v>4</v>
      </c>
      <c r="L20" s="10" t="s">
        <v>1103</v>
      </c>
      <c r="M20" s="9">
        <v>4</v>
      </c>
      <c r="N20" s="9" t="s">
        <v>62</v>
      </c>
      <c r="O20" s="10" t="s">
        <v>607</v>
      </c>
      <c r="P20" s="10" t="s">
        <v>60</v>
      </c>
      <c r="Q20" s="9">
        <v>0</v>
      </c>
      <c r="R20" s="10"/>
      <c r="S20" s="10"/>
      <c r="T20" s="9" t="s">
        <v>89</v>
      </c>
      <c r="U20" s="9"/>
    </row>
    <row r="21" spans="1:21" ht="92.4" x14ac:dyDescent="0.3">
      <c r="A21" s="15" t="s">
        <v>811</v>
      </c>
      <c r="B21" s="16">
        <v>10</v>
      </c>
      <c r="C21" s="9" t="s">
        <v>54</v>
      </c>
      <c r="D21" s="9" t="s">
        <v>175</v>
      </c>
      <c r="E21" s="9" t="s">
        <v>1095</v>
      </c>
      <c r="F21" s="9" t="s">
        <v>1104</v>
      </c>
      <c r="G21" s="9" t="s">
        <v>1105</v>
      </c>
      <c r="H21" s="9">
        <v>166</v>
      </c>
      <c r="I21" s="10" t="s">
        <v>1106</v>
      </c>
      <c r="J21" s="10" t="s">
        <v>1107</v>
      </c>
      <c r="K21" s="9">
        <v>5</v>
      </c>
      <c r="L21" s="10" t="s">
        <v>1108</v>
      </c>
      <c r="M21" s="9">
        <v>6</v>
      </c>
      <c r="N21" s="9" t="s">
        <v>62</v>
      </c>
      <c r="O21" s="10" t="s">
        <v>1109</v>
      </c>
      <c r="P21" s="10" t="s">
        <v>1110</v>
      </c>
      <c r="Q21" s="9">
        <v>3</v>
      </c>
      <c r="R21" s="10"/>
      <c r="S21" s="10"/>
      <c r="T21" s="9" t="s">
        <v>1111</v>
      </c>
      <c r="U21" s="9"/>
    </row>
    <row r="22" spans="1:21" ht="105.6" x14ac:dyDescent="0.3">
      <c r="A22" s="15" t="s">
        <v>1112</v>
      </c>
      <c r="B22" s="16">
        <v>10</v>
      </c>
      <c r="C22" s="9" t="s">
        <v>54</v>
      </c>
      <c r="D22" s="9" t="s">
        <v>175</v>
      </c>
      <c r="E22" s="9" t="s">
        <v>1095</v>
      </c>
      <c r="F22" s="9" t="s">
        <v>1104</v>
      </c>
      <c r="G22" s="9" t="s">
        <v>1113</v>
      </c>
      <c r="H22" s="9">
        <v>167</v>
      </c>
      <c r="I22" s="10" t="s">
        <v>1114</v>
      </c>
      <c r="J22" s="10" t="s">
        <v>1115</v>
      </c>
      <c r="K22" s="9">
        <v>4</v>
      </c>
      <c r="L22" s="10" t="s">
        <v>1116</v>
      </c>
      <c r="M22" s="9">
        <v>6</v>
      </c>
      <c r="N22" s="9" t="s">
        <v>62</v>
      </c>
      <c r="O22" s="10" t="s">
        <v>1117</v>
      </c>
      <c r="P22" s="10" t="s">
        <v>1118</v>
      </c>
      <c r="Q22" s="9">
        <v>3</v>
      </c>
      <c r="R22" s="10" t="s">
        <v>1119</v>
      </c>
      <c r="S22" s="10" t="s">
        <v>1120</v>
      </c>
      <c r="T22" s="9"/>
      <c r="U22" s="9"/>
    </row>
    <row r="23" spans="1:21" ht="66" x14ac:dyDescent="0.3">
      <c r="A23" s="15" t="s">
        <v>1121</v>
      </c>
      <c r="B23" s="16">
        <v>10</v>
      </c>
      <c r="C23" s="9" t="s">
        <v>238</v>
      </c>
      <c r="D23" s="9" t="s">
        <v>565</v>
      </c>
      <c r="E23" s="9" t="s">
        <v>1122</v>
      </c>
      <c r="F23" s="9" t="s">
        <v>1123</v>
      </c>
      <c r="G23" s="9" t="s">
        <v>1124</v>
      </c>
      <c r="H23" s="9">
        <v>168</v>
      </c>
      <c r="I23" s="10" t="s">
        <v>1125</v>
      </c>
      <c r="J23" s="10" t="s">
        <v>1126</v>
      </c>
      <c r="K23" s="9">
        <v>2</v>
      </c>
      <c r="L23" s="10" t="s">
        <v>1127</v>
      </c>
      <c r="M23" s="9">
        <v>3</v>
      </c>
      <c r="N23" s="9" t="s">
        <v>62</v>
      </c>
      <c r="O23" s="10" t="s">
        <v>1128</v>
      </c>
      <c r="P23" s="10" t="s">
        <v>60</v>
      </c>
      <c r="Q23" s="9">
        <v>0</v>
      </c>
      <c r="R23" s="10"/>
      <c r="S23" s="10"/>
      <c r="T23" s="9" t="s">
        <v>174</v>
      </c>
      <c r="U23" s="9" t="s">
        <v>1129</v>
      </c>
    </row>
    <row r="24" spans="1:21" ht="39.6" x14ac:dyDescent="0.3">
      <c r="A24" s="15" t="s">
        <v>1130</v>
      </c>
      <c r="B24" s="16">
        <v>10</v>
      </c>
      <c r="C24" s="9" t="s">
        <v>238</v>
      </c>
      <c r="D24" s="9" t="s">
        <v>565</v>
      </c>
      <c r="E24" s="9" t="s">
        <v>1122</v>
      </c>
      <c r="F24" s="9" t="s">
        <v>1123</v>
      </c>
      <c r="G24" s="9" t="s">
        <v>1131</v>
      </c>
      <c r="H24" s="9">
        <v>169</v>
      </c>
      <c r="I24" s="10" t="s">
        <v>1132</v>
      </c>
      <c r="J24" s="10" t="s">
        <v>60</v>
      </c>
      <c r="K24" s="9">
        <v>0</v>
      </c>
      <c r="L24" s="10" t="s">
        <v>60</v>
      </c>
      <c r="M24" s="9">
        <v>0</v>
      </c>
      <c r="N24" s="9" t="s">
        <v>62</v>
      </c>
      <c r="O24" s="10" t="s">
        <v>607</v>
      </c>
      <c r="P24" s="10" t="s">
        <v>60</v>
      </c>
      <c r="Q24" s="9">
        <v>0</v>
      </c>
      <c r="R24" s="10"/>
      <c r="S24" s="10"/>
      <c r="T24" s="9" t="s">
        <v>185</v>
      </c>
      <c r="U24" s="9" t="s">
        <v>1133</v>
      </c>
    </row>
    <row r="25" spans="1:21" ht="39.6" x14ac:dyDescent="0.3">
      <c r="A25" s="15" t="s">
        <v>1134</v>
      </c>
      <c r="B25" s="16">
        <v>10</v>
      </c>
      <c r="C25" s="9" t="s">
        <v>238</v>
      </c>
      <c r="D25" s="9" t="s">
        <v>565</v>
      </c>
      <c r="E25" s="9" t="s">
        <v>1122</v>
      </c>
      <c r="F25" s="9" t="s">
        <v>1123</v>
      </c>
      <c r="G25" s="9" t="s">
        <v>1135</v>
      </c>
      <c r="H25" s="9">
        <v>170</v>
      </c>
      <c r="I25" s="10" t="s">
        <v>1136</v>
      </c>
      <c r="J25" s="10" t="s">
        <v>60</v>
      </c>
      <c r="K25" s="9">
        <v>0</v>
      </c>
      <c r="L25" s="10" t="s">
        <v>60</v>
      </c>
      <c r="M25" s="9">
        <v>0</v>
      </c>
      <c r="N25" s="9" t="s">
        <v>62</v>
      </c>
      <c r="O25" s="10" t="s">
        <v>607</v>
      </c>
      <c r="P25" s="10" t="s">
        <v>60</v>
      </c>
      <c r="Q25" s="9">
        <v>0</v>
      </c>
      <c r="R25" s="10"/>
      <c r="S25" s="10"/>
      <c r="T25" s="9" t="s">
        <v>1137</v>
      </c>
      <c r="U25" s="9" t="s">
        <v>1138</v>
      </c>
    </row>
    <row r="26" spans="1:21" ht="52.8" x14ac:dyDescent="0.3">
      <c r="A26" s="15" t="s">
        <v>1138</v>
      </c>
      <c r="B26" s="16">
        <v>10</v>
      </c>
      <c r="C26" s="9" t="s">
        <v>238</v>
      </c>
      <c r="D26" s="9" t="s">
        <v>565</v>
      </c>
      <c r="E26" s="9" t="s">
        <v>1122</v>
      </c>
      <c r="F26" s="9" t="s">
        <v>1123</v>
      </c>
      <c r="G26" s="9" t="s">
        <v>1139</v>
      </c>
      <c r="H26" s="9">
        <v>171</v>
      </c>
      <c r="I26" s="10" t="s">
        <v>1140</v>
      </c>
      <c r="J26" s="10" t="s">
        <v>60</v>
      </c>
      <c r="K26" s="9">
        <v>0</v>
      </c>
      <c r="L26" s="10" t="s">
        <v>1141</v>
      </c>
      <c r="M26" s="9">
        <v>3</v>
      </c>
      <c r="N26" s="9" t="s">
        <v>62</v>
      </c>
      <c r="O26" s="10" t="s">
        <v>607</v>
      </c>
      <c r="P26" s="10" t="s">
        <v>60</v>
      </c>
      <c r="Q26" s="9">
        <v>0</v>
      </c>
      <c r="R26" s="10"/>
      <c r="S26" s="10"/>
      <c r="T26" s="9" t="s">
        <v>1142</v>
      </c>
      <c r="U26" s="9"/>
    </row>
    <row r="27" spans="1:21" ht="52.8" x14ac:dyDescent="0.3">
      <c r="A27" s="15" t="s">
        <v>1143</v>
      </c>
      <c r="B27" s="16">
        <v>10</v>
      </c>
      <c r="C27" s="9" t="s">
        <v>238</v>
      </c>
      <c r="D27" s="9" t="s">
        <v>565</v>
      </c>
      <c r="E27" s="9" t="s">
        <v>1122</v>
      </c>
      <c r="F27" s="9" t="s">
        <v>1123</v>
      </c>
      <c r="G27" s="9" t="s">
        <v>1144</v>
      </c>
      <c r="H27" s="9">
        <v>172</v>
      </c>
      <c r="I27" s="10" t="s">
        <v>1145</v>
      </c>
      <c r="J27" s="10" t="s">
        <v>60</v>
      </c>
      <c r="K27" s="9">
        <v>0</v>
      </c>
      <c r="L27" s="10" t="s">
        <v>1146</v>
      </c>
      <c r="M27" s="9">
        <v>2</v>
      </c>
      <c r="N27" s="9" t="s">
        <v>62</v>
      </c>
      <c r="O27" s="10" t="s">
        <v>607</v>
      </c>
      <c r="P27" s="10" t="s">
        <v>60</v>
      </c>
      <c r="Q27" s="9">
        <v>0</v>
      </c>
      <c r="R27" s="10"/>
      <c r="S27" s="10"/>
      <c r="T27" s="9"/>
      <c r="U27" s="9"/>
    </row>
    <row r="28" spans="1:21" ht="52.8" x14ac:dyDescent="0.3">
      <c r="A28" s="15" t="s">
        <v>1147</v>
      </c>
      <c r="B28" s="16">
        <v>10</v>
      </c>
      <c r="C28" s="9" t="s">
        <v>238</v>
      </c>
      <c r="D28" s="9" t="s">
        <v>565</v>
      </c>
      <c r="E28" s="9" t="s">
        <v>1122</v>
      </c>
      <c r="F28" s="9" t="s">
        <v>1123</v>
      </c>
      <c r="G28" s="9" t="s">
        <v>1148</v>
      </c>
      <c r="H28" s="9">
        <v>173</v>
      </c>
      <c r="I28" s="10" t="s">
        <v>1149</v>
      </c>
      <c r="J28" s="10" t="s">
        <v>60</v>
      </c>
      <c r="K28" s="9">
        <v>0</v>
      </c>
      <c r="L28" s="10" t="s">
        <v>60</v>
      </c>
      <c r="M28" s="9">
        <v>0</v>
      </c>
      <c r="N28" s="9" t="s">
        <v>126</v>
      </c>
      <c r="O28" s="10" t="s">
        <v>538</v>
      </c>
      <c r="P28" s="10" t="s">
        <v>60</v>
      </c>
      <c r="Q28" s="9">
        <v>0</v>
      </c>
      <c r="R28" s="10"/>
      <c r="S28" s="10"/>
      <c r="T28" s="9"/>
      <c r="U28" s="9"/>
    </row>
    <row r="29" spans="1:21" ht="39.6" x14ac:dyDescent="0.3">
      <c r="A29" s="15" t="s">
        <v>1150</v>
      </c>
      <c r="B29" s="16">
        <v>10</v>
      </c>
      <c r="C29" s="9" t="s">
        <v>238</v>
      </c>
      <c r="D29" s="9" t="s">
        <v>565</v>
      </c>
      <c r="E29" s="9" t="s">
        <v>1122</v>
      </c>
      <c r="F29" s="9" t="s">
        <v>1123</v>
      </c>
      <c r="G29" s="9" t="s">
        <v>1151</v>
      </c>
      <c r="H29" s="9">
        <v>174</v>
      </c>
      <c r="I29" s="10" t="s">
        <v>1152</v>
      </c>
      <c r="J29" s="10" t="s">
        <v>60</v>
      </c>
      <c r="K29" s="9">
        <v>0</v>
      </c>
      <c r="L29" s="10" t="s">
        <v>60</v>
      </c>
      <c r="M29" s="9">
        <v>0</v>
      </c>
      <c r="N29" s="9" t="s">
        <v>126</v>
      </c>
      <c r="O29" s="10" t="s">
        <v>1153</v>
      </c>
      <c r="P29" s="10" t="s">
        <v>60</v>
      </c>
      <c r="Q29" s="9">
        <v>0</v>
      </c>
      <c r="R29" s="10" t="s">
        <v>1154</v>
      </c>
      <c r="S29" s="10"/>
      <c r="T29" s="9"/>
      <c r="U29" s="9"/>
    </row>
    <row r="30" spans="1:21" ht="52.8" x14ac:dyDescent="0.3">
      <c r="A30" s="15" t="s">
        <v>1155</v>
      </c>
      <c r="B30" s="16">
        <v>10</v>
      </c>
      <c r="C30" s="9" t="s">
        <v>238</v>
      </c>
      <c r="D30" s="9" t="s">
        <v>565</v>
      </c>
      <c r="E30" s="9" t="s">
        <v>1122</v>
      </c>
      <c r="F30" s="9" t="s">
        <v>1156</v>
      </c>
      <c r="G30" s="9" t="s">
        <v>1157</v>
      </c>
      <c r="H30" s="9">
        <v>175</v>
      </c>
      <c r="I30" s="10" t="s">
        <v>1158</v>
      </c>
      <c r="J30" s="10" t="s">
        <v>1159</v>
      </c>
      <c r="K30" s="9">
        <v>3</v>
      </c>
      <c r="L30" s="10" t="s">
        <v>1160</v>
      </c>
      <c r="M30" s="9">
        <v>4</v>
      </c>
      <c r="N30" s="9" t="s">
        <v>62</v>
      </c>
      <c r="O30" s="10" t="s">
        <v>607</v>
      </c>
      <c r="P30" s="10" t="s">
        <v>60</v>
      </c>
      <c r="Q30" s="9">
        <v>0</v>
      </c>
      <c r="R30" s="10"/>
      <c r="S30" s="10"/>
      <c r="T30" s="9"/>
      <c r="U30" s="9"/>
    </row>
    <row r="31" spans="1:21" ht="39.6" x14ac:dyDescent="0.3">
      <c r="A31" s="15" t="s">
        <v>1161</v>
      </c>
      <c r="B31" s="16">
        <v>10</v>
      </c>
      <c r="C31" s="9" t="s">
        <v>238</v>
      </c>
      <c r="D31" s="9" t="s">
        <v>565</v>
      </c>
      <c r="E31" s="9" t="s">
        <v>1122</v>
      </c>
      <c r="F31" s="9" t="s">
        <v>1156</v>
      </c>
      <c r="G31" s="9" t="s">
        <v>1162</v>
      </c>
      <c r="H31" s="9">
        <v>176</v>
      </c>
      <c r="I31" s="10" t="s">
        <v>1163</v>
      </c>
      <c r="J31" s="10" t="s">
        <v>60</v>
      </c>
      <c r="K31" s="9">
        <v>0</v>
      </c>
      <c r="L31" s="10" t="s">
        <v>60</v>
      </c>
      <c r="M31" s="9">
        <v>0</v>
      </c>
      <c r="N31" s="9" t="s">
        <v>76</v>
      </c>
      <c r="O31" s="10" t="s">
        <v>621</v>
      </c>
      <c r="P31" s="10" t="s">
        <v>60</v>
      </c>
      <c r="Q31" s="9">
        <v>0</v>
      </c>
      <c r="R31" s="10"/>
      <c r="S31" s="10"/>
      <c r="T31" s="9"/>
      <c r="U31" s="9"/>
    </row>
    <row r="32" spans="1:21" ht="39.6" x14ac:dyDescent="0.3">
      <c r="A32" s="15" t="s">
        <v>1164</v>
      </c>
      <c r="B32" s="16">
        <v>10</v>
      </c>
      <c r="C32" s="9" t="s">
        <v>238</v>
      </c>
      <c r="D32" s="9" t="s">
        <v>565</v>
      </c>
      <c r="E32" s="9" t="s">
        <v>1122</v>
      </c>
      <c r="F32" s="9" t="s">
        <v>1156</v>
      </c>
      <c r="G32" s="9" t="s">
        <v>1165</v>
      </c>
      <c r="H32" s="9">
        <v>177</v>
      </c>
      <c r="I32" s="10" t="s">
        <v>1166</v>
      </c>
      <c r="J32" s="10" t="s">
        <v>1167</v>
      </c>
      <c r="K32" s="9">
        <v>2</v>
      </c>
      <c r="L32" s="10" t="s">
        <v>1168</v>
      </c>
      <c r="M32" s="9">
        <v>3</v>
      </c>
      <c r="N32" s="9" t="s">
        <v>62</v>
      </c>
      <c r="O32" s="10" t="s">
        <v>1169</v>
      </c>
      <c r="P32" s="10" t="s">
        <v>1170</v>
      </c>
      <c r="Q32" s="9">
        <v>2</v>
      </c>
      <c r="R32" s="10"/>
      <c r="S32" s="10"/>
      <c r="T32" s="9"/>
      <c r="U32" s="9"/>
    </row>
    <row r="33" spans="1:21" ht="66" x14ac:dyDescent="0.3">
      <c r="A33" s="15" t="s">
        <v>1171</v>
      </c>
      <c r="B33" s="16">
        <v>10</v>
      </c>
      <c r="C33" s="9" t="s">
        <v>238</v>
      </c>
      <c r="D33" s="9" t="s">
        <v>565</v>
      </c>
      <c r="E33" s="9" t="s">
        <v>1122</v>
      </c>
      <c r="F33" s="9" t="s">
        <v>1156</v>
      </c>
      <c r="G33" s="9" t="s">
        <v>1172</v>
      </c>
      <c r="H33" s="9">
        <v>178</v>
      </c>
      <c r="I33" s="10" t="s">
        <v>1173</v>
      </c>
      <c r="J33" s="10" t="s">
        <v>1174</v>
      </c>
      <c r="K33" s="9">
        <v>1</v>
      </c>
      <c r="L33" s="10" t="s">
        <v>1175</v>
      </c>
      <c r="M33" s="9">
        <v>3</v>
      </c>
      <c r="N33" s="9" t="s">
        <v>126</v>
      </c>
      <c r="O33" s="10" t="s">
        <v>538</v>
      </c>
      <c r="P33" s="10" t="s">
        <v>1176</v>
      </c>
      <c r="Q33" s="9">
        <v>1</v>
      </c>
      <c r="R33" s="10"/>
      <c r="S33" s="10"/>
      <c r="T33" s="9"/>
      <c r="U33" s="9"/>
    </row>
    <row r="34" spans="1:21" ht="66" x14ac:dyDescent="0.3">
      <c r="A34" s="15" t="s">
        <v>1177</v>
      </c>
      <c r="B34" s="16">
        <v>10</v>
      </c>
      <c r="C34" s="9" t="s">
        <v>238</v>
      </c>
      <c r="D34" s="9" t="s">
        <v>565</v>
      </c>
      <c r="E34" s="9" t="s">
        <v>1122</v>
      </c>
      <c r="F34" s="9" t="s">
        <v>1156</v>
      </c>
      <c r="G34" s="9" t="s">
        <v>1178</v>
      </c>
      <c r="H34" s="9">
        <v>179</v>
      </c>
      <c r="I34" s="10" t="s">
        <v>1179</v>
      </c>
      <c r="J34" s="10" t="s">
        <v>1180</v>
      </c>
      <c r="K34" s="9">
        <v>2</v>
      </c>
      <c r="L34" s="10" t="s">
        <v>1181</v>
      </c>
      <c r="M34" s="9">
        <v>2</v>
      </c>
      <c r="N34" s="9" t="s">
        <v>126</v>
      </c>
      <c r="O34" s="10" t="s">
        <v>538</v>
      </c>
      <c r="P34" s="10" t="s">
        <v>60</v>
      </c>
      <c r="Q34" s="9">
        <v>0</v>
      </c>
      <c r="R34" s="10"/>
      <c r="S34" s="10"/>
      <c r="T34" s="9"/>
      <c r="U34" s="9"/>
    </row>
    <row r="35" spans="1:21" ht="39.6" x14ac:dyDescent="0.3">
      <c r="A35" s="15" t="s">
        <v>1182</v>
      </c>
      <c r="B35" s="16">
        <v>10</v>
      </c>
      <c r="C35" s="9" t="s">
        <v>238</v>
      </c>
      <c r="D35" s="9" t="s">
        <v>565</v>
      </c>
      <c r="E35" s="9" t="s">
        <v>1122</v>
      </c>
      <c r="F35" s="9" t="s">
        <v>1156</v>
      </c>
      <c r="G35" s="9" t="s">
        <v>1183</v>
      </c>
      <c r="H35" s="9">
        <v>180</v>
      </c>
      <c r="I35" s="10" t="s">
        <v>1184</v>
      </c>
      <c r="J35" s="10" t="s">
        <v>60</v>
      </c>
      <c r="K35" s="9">
        <v>0</v>
      </c>
      <c r="L35" s="10" t="s">
        <v>60</v>
      </c>
      <c r="M35" s="9">
        <v>0</v>
      </c>
      <c r="N35" s="9" t="s">
        <v>76</v>
      </c>
      <c r="O35" s="10" t="s">
        <v>621</v>
      </c>
      <c r="P35" s="10" t="s">
        <v>60</v>
      </c>
      <c r="Q35" s="9">
        <v>0</v>
      </c>
      <c r="R35" s="10"/>
      <c r="S35" s="10"/>
      <c r="T35" s="9"/>
      <c r="U35" s="9"/>
    </row>
    <row r="36" spans="1:21" ht="105.6" x14ac:dyDescent="0.3">
      <c r="A36" s="15" t="s">
        <v>627</v>
      </c>
      <c r="B36" s="16">
        <v>10</v>
      </c>
      <c r="C36" s="9" t="s">
        <v>238</v>
      </c>
      <c r="D36" s="9" t="s">
        <v>565</v>
      </c>
      <c r="E36" s="9" t="s">
        <v>1122</v>
      </c>
      <c r="F36" s="9" t="s">
        <v>1156</v>
      </c>
      <c r="G36" s="9" t="s">
        <v>1185</v>
      </c>
      <c r="H36" s="9">
        <v>181</v>
      </c>
      <c r="I36" s="10" t="s">
        <v>1186</v>
      </c>
      <c r="J36" s="10" t="s">
        <v>1187</v>
      </c>
      <c r="K36" s="9">
        <v>8</v>
      </c>
      <c r="L36" s="10" t="s">
        <v>1188</v>
      </c>
      <c r="M36" s="9">
        <v>7</v>
      </c>
      <c r="N36" s="9" t="s">
        <v>62</v>
      </c>
      <c r="O36" s="10" t="s">
        <v>1189</v>
      </c>
      <c r="P36" s="10" t="s">
        <v>1190</v>
      </c>
      <c r="Q36" s="9">
        <v>3</v>
      </c>
      <c r="R36" s="10" t="s">
        <v>1191</v>
      </c>
      <c r="S36" s="10"/>
      <c r="T36" s="9" t="s">
        <v>1192</v>
      </c>
      <c r="U36" s="9"/>
    </row>
    <row r="37" spans="1:21" ht="79.2" x14ac:dyDescent="0.3">
      <c r="A37" s="15" t="s">
        <v>1193</v>
      </c>
      <c r="B37" s="16">
        <v>10</v>
      </c>
      <c r="C37" s="9" t="s">
        <v>238</v>
      </c>
      <c r="D37" s="9" t="s">
        <v>565</v>
      </c>
      <c r="E37" s="9" t="s">
        <v>1122</v>
      </c>
      <c r="F37" s="9" t="s">
        <v>1194</v>
      </c>
      <c r="G37" s="9" t="s">
        <v>1195</v>
      </c>
      <c r="H37" s="9">
        <v>182</v>
      </c>
      <c r="I37" s="10" t="s">
        <v>1196</v>
      </c>
      <c r="J37" s="10" t="s">
        <v>1197</v>
      </c>
      <c r="K37" s="9">
        <v>1</v>
      </c>
      <c r="L37" s="10" t="s">
        <v>1198</v>
      </c>
      <c r="M37" s="9">
        <v>5</v>
      </c>
      <c r="N37" s="9" t="s">
        <v>62</v>
      </c>
      <c r="O37" s="10" t="s">
        <v>1199</v>
      </c>
      <c r="P37" s="10" t="s">
        <v>1200</v>
      </c>
      <c r="Q37" s="9">
        <v>2</v>
      </c>
      <c r="R37" s="10"/>
      <c r="S37" s="10"/>
      <c r="T37" s="9" t="s">
        <v>830</v>
      </c>
      <c r="U37" s="9" t="s">
        <v>1201</v>
      </c>
    </row>
    <row r="38" spans="1:21" ht="39.6" x14ac:dyDescent="0.3">
      <c r="A38" s="15" t="s">
        <v>1202</v>
      </c>
      <c r="B38" s="16">
        <v>10</v>
      </c>
      <c r="C38" s="9" t="s">
        <v>238</v>
      </c>
      <c r="D38" s="9" t="s">
        <v>565</v>
      </c>
      <c r="E38" s="9" t="s">
        <v>1122</v>
      </c>
      <c r="F38" s="9" t="s">
        <v>1194</v>
      </c>
      <c r="G38" s="9" t="s">
        <v>1203</v>
      </c>
      <c r="H38" s="9">
        <v>183</v>
      </c>
      <c r="I38" s="10" t="s">
        <v>1204</v>
      </c>
      <c r="J38" s="10" t="s">
        <v>1205</v>
      </c>
      <c r="K38" s="9">
        <v>2</v>
      </c>
      <c r="L38" s="10" t="s">
        <v>1206</v>
      </c>
      <c r="M38" s="9">
        <v>3</v>
      </c>
      <c r="N38" s="9" t="s">
        <v>62</v>
      </c>
      <c r="O38" s="10" t="s">
        <v>607</v>
      </c>
      <c r="P38" s="10" t="s">
        <v>60</v>
      </c>
      <c r="Q38" s="9">
        <v>0</v>
      </c>
      <c r="R38" s="10"/>
      <c r="S38" s="10"/>
      <c r="T38" s="9"/>
      <c r="U38" s="9"/>
    </row>
    <row r="39" spans="1:21" ht="39.6" x14ac:dyDescent="0.3">
      <c r="A39" s="15" t="s">
        <v>1207</v>
      </c>
      <c r="B39" s="16">
        <v>10</v>
      </c>
      <c r="C39" s="9" t="s">
        <v>238</v>
      </c>
      <c r="D39" s="9" t="s">
        <v>565</v>
      </c>
      <c r="E39" s="9" t="s">
        <v>1122</v>
      </c>
      <c r="F39" s="9" t="s">
        <v>1194</v>
      </c>
      <c r="G39" s="9" t="s">
        <v>1208</v>
      </c>
      <c r="H39" s="9">
        <v>184</v>
      </c>
      <c r="I39" s="10" t="s">
        <v>1209</v>
      </c>
      <c r="J39" s="10" t="s">
        <v>1210</v>
      </c>
      <c r="K39" s="9">
        <v>3</v>
      </c>
      <c r="L39" s="10" t="s">
        <v>1211</v>
      </c>
      <c r="M39" s="9">
        <v>3</v>
      </c>
      <c r="N39" s="9" t="s">
        <v>62</v>
      </c>
      <c r="O39" s="10" t="s">
        <v>1212</v>
      </c>
      <c r="P39" s="10" t="s">
        <v>1213</v>
      </c>
      <c r="Q39" s="9">
        <v>2</v>
      </c>
      <c r="R39" s="10" t="s">
        <v>1214</v>
      </c>
      <c r="S39" s="10"/>
      <c r="T39" s="9" t="s">
        <v>839</v>
      </c>
      <c r="U39" s="9" t="s">
        <v>1215</v>
      </c>
    </row>
    <row r="40" spans="1:21" ht="26.4" x14ac:dyDescent="0.3">
      <c r="A40" s="15" t="s">
        <v>1216</v>
      </c>
      <c r="B40" s="16">
        <v>10</v>
      </c>
      <c r="C40" s="9" t="s">
        <v>238</v>
      </c>
      <c r="D40" s="9" t="s">
        <v>565</v>
      </c>
      <c r="E40" s="9" t="s">
        <v>1122</v>
      </c>
      <c r="F40" s="9" t="s">
        <v>1217</v>
      </c>
      <c r="G40" s="9" t="s">
        <v>1218</v>
      </c>
      <c r="H40" s="9">
        <v>185</v>
      </c>
      <c r="I40" s="10" t="s">
        <v>1219</v>
      </c>
      <c r="J40" s="10" t="s">
        <v>60</v>
      </c>
      <c r="K40" s="9">
        <v>0</v>
      </c>
      <c r="L40" s="10" t="s">
        <v>60</v>
      </c>
      <c r="M40" s="9">
        <v>0</v>
      </c>
      <c r="N40" s="9" t="s">
        <v>76</v>
      </c>
      <c r="O40" s="10" t="s">
        <v>621</v>
      </c>
      <c r="P40" s="10" t="s">
        <v>60</v>
      </c>
      <c r="Q40" s="9">
        <v>0</v>
      </c>
      <c r="R40" s="10"/>
      <c r="S40" s="10"/>
      <c r="T40" s="9"/>
      <c r="U40" s="9"/>
    </row>
    <row r="41" spans="1:21" ht="52.8" x14ac:dyDescent="0.3">
      <c r="A41" s="15" t="s">
        <v>1220</v>
      </c>
      <c r="B41" s="16">
        <v>10</v>
      </c>
      <c r="C41" s="9" t="s">
        <v>238</v>
      </c>
      <c r="D41" s="9" t="s">
        <v>565</v>
      </c>
      <c r="E41" s="9" t="s">
        <v>1122</v>
      </c>
      <c r="F41" s="9" t="s">
        <v>1217</v>
      </c>
      <c r="G41" s="9" t="s">
        <v>1221</v>
      </c>
      <c r="H41" s="9">
        <v>186</v>
      </c>
      <c r="I41" s="10" t="s">
        <v>1222</v>
      </c>
      <c r="J41" s="10" t="s">
        <v>60</v>
      </c>
      <c r="K41" s="9">
        <v>0</v>
      </c>
      <c r="L41" s="10" t="s">
        <v>60</v>
      </c>
      <c r="M41" s="9">
        <v>0</v>
      </c>
      <c r="N41" s="9" t="s">
        <v>62</v>
      </c>
      <c r="O41" s="10" t="s">
        <v>607</v>
      </c>
      <c r="P41" s="10" t="s">
        <v>60</v>
      </c>
      <c r="Q41" s="9">
        <v>0</v>
      </c>
      <c r="R41" s="10"/>
      <c r="S41" s="10"/>
      <c r="T41" s="9"/>
      <c r="U41" s="9"/>
    </row>
    <row r="42" spans="1:21" ht="66" x14ac:dyDescent="0.3">
      <c r="A42" s="15" t="s">
        <v>1223</v>
      </c>
      <c r="B42" s="16">
        <v>10</v>
      </c>
      <c r="C42" s="9" t="s">
        <v>238</v>
      </c>
      <c r="D42" s="9" t="s">
        <v>565</v>
      </c>
      <c r="E42" s="9" t="s">
        <v>1122</v>
      </c>
      <c r="F42" s="9" t="s">
        <v>1217</v>
      </c>
      <c r="G42" s="9" t="s">
        <v>1224</v>
      </c>
      <c r="H42" s="9">
        <v>187</v>
      </c>
      <c r="I42" s="10" t="s">
        <v>1225</v>
      </c>
      <c r="J42" s="10" t="s">
        <v>60</v>
      </c>
      <c r="K42" s="9">
        <v>0</v>
      </c>
      <c r="L42" s="10" t="s">
        <v>60</v>
      </c>
      <c r="M42" s="9">
        <v>0</v>
      </c>
      <c r="N42" s="9" t="s">
        <v>126</v>
      </c>
      <c r="O42" s="10" t="s">
        <v>538</v>
      </c>
      <c r="P42" s="10" t="s">
        <v>60</v>
      </c>
      <c r="Q42" s="9">
        <v>0</v>
      </c>
      <c r="R42" s="10"/>
      <c r="S42" s="10"/>
      <c r="T42" s="9" t="s">
        <v>865</v>
      </c>
      <c r="U42" s="9" t="s">
        <v>1226</v>
      </c>
    </row>
    <row r="43" spans="1:21" ht="66" x14ac:dyDescent="0.3">
      <c r="A43" s="15" t="s">
        <v>1227</v>
      </c>
      <c r="B43" s="16">
        <v>10</v>
      </c>
      <c r="C43" s="9" t="s">
        <v>238</v>
      </c>
      <c r="D43" s="9" t="s">
        <v>565</v>
      </c>
      <c r="E43" s="9" t="s">
        <v>1122</v>
      </c>
      <c r="F43" s="9" t="s">
        <v>1217</v>
      </c>
      <c r="G43" s="9" t="s">
        <v>1228</v>
      </c>
      <c r="H43" s="9">
        <v>188</v>
      </c>
      <c r="I43" s="10" t="s">
        <v>1229</v>
      </c>
      <c r="J43" s="10" t="s">
        <v>1230</v>
      </c>
      <c r="K43" s="9">
        <v>5</v>
      </c>
      <c r="L43" s="10" t="s">
        <v>1231</v>
      </c>
      <c r="M43" s="9">
        <v>4</v>
      </c>
      <c r="N43" s="9" t="s">
        <v>62</v>
      </c>
      <c r="O43" s="10" t="s">
        <v>1232</v>
      </c>
      <c r="P43" s="10" t="s">
        <v>1233</v>
      </c>
      <c r="Q43" s="9">
        <v>1</v>
      </c>
      <c r="R43" s="10"/>
      <c r="S43" s="10"/>
      <c r="T43" s="9"/>
      <c r="U43" s="9" t="s">
        <v>1234</v>
      </c>
    </row>
    <row r="44" spans="1:21" ht="52.8" x14ac:dyDescent="0.3">
      <c r="A44" s="15" t="s">
        <v>1235</v>
      </c>
      <c r="B44" s="16">
        <v>10</v>
      </c>
      <c r="C44" s="9" t="s">
        <v>238</v>
      </c>
      <c r="D44" s="9" t="s">
        <v>565</v>
      </c>
      <c r="E44" s="9" t="s">
        <v>1122</v>
      </c>
      <c r="F44" s="9" t="s">
        <v>1217</v>
      </c>
      <c r="G44" s="9" t="s">
        <v>1236</v>
      </c>
      <c r="H44" s="9">
        <v>189</v>
      </c>
      <c r="I44" s="10" t="s">
        <v>1237</v>
      </c>
      <c r="J44" s="10" t="s">
        <v>1238</v>
      </c>
      <c r="K44" s="9">
        <v>4</v>
      </c>
      <c r="L44" s="10" t="s">
        <v>1239</v>
      </c>
      <c r="M44" s="9">
        <v>4</v>
      </c>
      <c r="N44" s="9" t="s">
        <v>62</v>
      </c>
      <c r="O44" s="10" t="s">
        <v>607</v>
      </c>
      <c r="P44" s="10" t="s">
        <v>60</v>
      </c>
      <c r="Q44" s="9">
        <v>0</v>
      </c>
      <c r="R44" s="10"/>
      <c r="S44" s="10"/>
      <c r="T44" s="9"/>
      <c r="U44" s="9"/>
    </row>
    <row r="45" spans="1:21" ht="79.2" x14ac:dyDescent="0.3">
      <c r="A45" s="15" t="s">
        <v>1240</v>
      </c>
      <c r="B45" s="16">
        <v>10</v>
      </c>
      <c r="C45" s="9" t="s">
        <v>238</v>
      </c>
      <c r="D45" s="9" t="s">
        <v>565</v>
      </c>
      <c r="E45" s="9" t="s">
        <v>1122</v>
      </c>
      <c r="F45" s="9" t="s">
        <v>1217</v>
      </c>
      <c r="G45" s="9" t="s">
        <v>1241</v>
      </c>
      <c r="H45" s="9">
        <v>190</v>
      </c>
      <c r="I45" s="10" t="s">
        <v>1242</v>
      </c>
      <c r="J45" s="10" t="s">
        <v>1243</v>
      </c>
      <c r="K45" s="9">
        <v>5</v>
      </c>
      <c r="L45" s="10" t="s">
        <v>1244</v>
      </c>
      <c r="M45" s="9">
        <v>4</v>
      </c>
      <c r="N45" s="9" t="s">
        <v>62</v>
      </c>
      <c r="O45" s="10" t="s">
        <v>1245</v>
      </c>
      <c r="P45" s="10" t="s">
        <v>1246</v>
      </c>
      <c r="Q45" s="9">
        <v>2</v>
      </c>
      <c r="R45" s="10" t="s">
        <v>1247</v>
      </c>
      <c r="S45" s="10"/>
      <c r="T45" s="9" t="s">
        <v>872</v>
      </c>
      <c r="U45" s="9" t="s">
        <v>1248</v>
      </c>
    </row>
    <row r="46" spans="1:21" ht="52.8" x14ac:dyDescent="0.3">
      <c r="A46" s="15" t="s">
        <v>1249</v>
      </c>
      <c r="B46" s="16">
        <v>10</v>
      </c>
      <c r="C46" s="9" t="s">
        <v>238</v>
      </c>
      <c r="D46" s="9" t="s">
        <v>318</v>
      </c>
      <c r="E46" s="9" t="s">
        <v>1250</v>
      </c>
      <c r="F46" s="9" t="s">
        <v>1251</v>
      </c>
      <c r="G46" s="9" t="s">
        <v>1252</v>
      </c>
      <c r="H46" s="9">
        <v>191</v>
      </c>
      <c r="I46" s="10" t="s">
        <v>1253</v>
      </c>
      <c r="J46" s="10" t="s">
        <v>1254</v>
      </c>
      <c r="K46" s="9">
        <v>3</v>
      </c>
      <c r="L46" s="10" t="s">
        <v>1255</v>
      </c>
      <c r="M46" s="9">
        <v>4</v>
      </c>
      <c r="N46" s="9" t="s">
        <v>62</v>
      </c>
      <c r="O46" s="10" t="s">
        <v>607</v>
      </c>
      <c r="P46" s="10" t="s">
        <v>1256</v>
      </c>
      <c r="Q46" s="9">
        <v>1</v>
      </c>
      <c r="R46" s="10"/>
      <c r="S46" s="10"/>
      <c r="T46" s="9"/>
      <c r="U46" s="9"/>
    </row>
    <row r="47" spans="1:21" ht="92.4" x14ac:dyDescent="0.3">
      <c r="A47" s="15" t="s">
        <v>965</v>
      </c>
      <c r="B47" s="16">
        <v>10</v>
      </c>
      <c r="C47" s="9" t="s">
        <v>238</v>
      </c>
      <c r="D47" s="9" t="s">
        <v>318</v>
      </c>
      <c r="E47" s="9" t="s">
        <v>1250</v>
      </c>
      <c r="F47" s="9" t="s">
        <v>1251</v>
      </c>
      <c r="G47" s="9" t="s">
        <v>1257</v>
      </c>
      <c r="H47" s="9">
        <v>192</v>
      </c>
      <c r="I47" s="10" t="s">
        <v>1258</v>
      </c>
      <c r="J47" s="10" t="s">
        <v>1259</v>
      </c>
      <c r="K47" s="9">
        <v>6</v>
      </c>
      <c r="L47" s="10" t="s">
        <v>1260</v>
      </c>
      <c r="M47" s="9">
        <v>7</v>
      </c>
      <c r="N47" s="9" t="s">
        <v>62</v>
      </c>
      <c r="O47" s="10" t="s">
        <v>1261</v>
      </c>
      <c r="P47" s="10" t="s">
        <v>60</v>
      </c>
      <c r="Q47" s="9">
        <v>0</v>
      </c>
      <c r="R47" s="10" t="s">
        <v>1262</v>
      </c>
      <c r="S47" s="10"/>
      <c r="T47" s="9" t="s">
        <v>956</v>
      </c>
      <c r="U47" s="9"/>
    </row>
    <row r="48" spans="1:21" ht="39.6" x14ac:dyDescent="0.3">
      <c r="A48" s="15" t="s">
        <v>1263</v>
      </c>
      <c r="B48" s="16">
        <v>10</v>
      </c>
      <c r="C48" s="9" t="s">
        <v>238</v>
      </c>
      <c r="D48" s="9" t="s">
        <v>318</v>
      </c>
      <c r="E48" s="9" t="s">
        <v>1250</v>
      </c>
      <c r="F48" s="9" t="s">
        <v>1264</v>
      </c>
      <c r="G48" s="9" t="s">
        <v>1265</v>
      </c>
      <c r="H48" s="9">
        <v>193</v>
      </c>
      <c r="I48" s="10" t="s">
        <v>1266</v>
      </c>
      <c r="J48" s="10" t="s">
        <v>60</v>
      </c>
      <c r="K48" s="9">
        <v>0</v>
      </c>
      <c r="L48" s="10" t="s">
        <v>60</v>
      </c>
      <c r="M48" s="9">
        <v>0</v>
      </c>
      <c r="N48" s="9" t="s">
        <v>87</v>
      </c>
      <c r="O48" s="10" t="s">
        <v>87</v>
      </c>
      <c r="P48" s="10" t="s">
        <v>60</v>
      </c>
      <c r="Q48" s="9">
        <v>0</v>
      </c>
      <c r="R48" s="10"/>
      <c r="S48" s="10"/>
      <c r="T48" s="9"/>
      <c r="U48" s="9"/>
    </row>
    <row r="49" spans="1:21" ht="66" x14ac:dyDescent="0.3">
      <c r="A49" s="15" t="s">
        <v>1267</v>
      </c>
      <c r="B49" s="16">
        <v>10</v>
      </c>
      <c r="C49" s="9" t="s">
        <v>238</v>
      </c>
      <c r="D49" s="9" t="s">
        <v>318</v>
      </c>
      <c r="E49" s="9" t="s">
        <v>1250</v>
      </c>
      <c r="F49" s="9" t="s">
        <v>1264</v>
      </c>
      <c r="G49" s="9" t="s">
        <v>1268</v>
      </c>
      <c r="H49" s="9">
        <v>194</v>
      </c>
      <c r="I49" s="10" t="s">
        <v>1269</v>
      </c>
      <c r="J49" s="10" t="s">
        <v>60</v>
      </c>
      <c r="K49" s="9">
        <v>0</v>
      </c>
      <c r="L49" s="10" t="s">
        <v>60</v>
      </c>
      <c r="M49" s="9">
        <v>0</v>
      </c>
      <c r="N49" s="9" t="s">
        <v>62</v>
      </c>
      <c r="O49" s="10" t="s">
        <v>1270</v>
      </c>
      <c r="P49" s="10" t="s">
        <v>60</v>
      </c>
      <c r="Q49" s="9">
        <v>0</v>
      </c>
      <c r="R49" s="10"/>
      <c r="S49" s="10"/>
      <c r="T49" s="9"/>
      <c r="U49" s="9"/>
    </row>
    <row r="50" spans="1:21" ht="79.2" x14ac:dyDescent="0.3">
      <c r="A50" s="15" t="s">
        <v>1000</v>
      </c>
      <c r="B50" s="16">
        <v>10</v>
      </c>
      <c r="C50" s="9" t="s">
        <v>238</v>
      </c>
      <c r="D50" s="9" t="s">
        <v>318</v>
      </c>
      <c r="E50" s="9" t="s">
        <v>1250</v>
      </c>
      <c r="F50" s="9" t="s">
        <v>1264</v>
      </c>
      <c r="G50" s="9" t="s">
        <v>1271</v>
      </c>
      <c r="H50" s="9">
        <v>195</v>
      </c>
      <c r="I50" s="10" t="s">
        <v>1272</v>
      </c>
      <c r="J50" s="10" t="s">
        <v>1273</v>
      </c>
      <c r="K50" s="9">
        <v>5</v>
      </c>
      <c r="L50" s="10" t="s">
        <v>1274</v>
      </c>
      <c r="M50" s="9">
        <v>6</v>
      </c>
      <c r="N50" s="9" t="s">
        <v>62</v>
      </c>
      <c r="O50" s="10" t="s">
        <v>1275</v>
      </c>
      <c r="P50" s="10" t="s">
        <v>1276</v>
      </c>
      <c r="Q50" s="9">
        <v>3</v>
      </c>
      <c r="R50" s="10" t="s">
        <v>1277</v>
      </c>
      <c r="S50" s="10"/>
      <c r="T50" s="9" t="s">
        <v>992</v>
      </c>
      <c r="U50" s="9"/>
    </row>
  </sheetData>
  <autoFilter ref="A1:U50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7" customWidth="1"/>
    <col min="3" max="4" width="12" customWidth="1"/>
    <col min="5" max="5" width="30" customWidth="1"/>
    <col min="6" max="6" width="32" customWidth="1"/>
    <col min="7" max="7" width="38" customWidth="1"/>
    <col min="8" max="8" width="9" customWidth="1"/>
    <col min="9" max="10" width="70" customWidth="1"/>
    <col min="11" max="11" width="9" customWidth="1"/>
    <col min="12" max="12" width="70" customWidth="1"/>
    <col min="13" max="13" width="9" customWidth="1"/>
    <col min="14" max="14" width="14" customWidth="1"/>
    <col min="15" max="15" width="55" customWidth="1"/>
    <col min="16" max="16" width="60" customWidth="1"/>
    <col min="17" max="17" width="9" customWidth="1"/>
    <col min="18" max="18" width="50" customWidth="1"/>
    <col min="19" max="19" width="45" customWidth="1"/>
    <col min="20" max="21" width="26" customWidth="1"/>
  </cols>
  <sheetData>
    <row r="1" spans="1:21" ht="30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</row>
    <row r="2" spans="1:21" ht="79.2" x14ac:dyDescent="0.3">
      <c r="A2" s="17" t="s">
        <v>1129</v>
      </c>
      <c r="B2" s="18">
        <v>11</v>
      </c>
      <c r="C2" s="9" t="s">
        <v>54</v>
      </c>
      <c r="D2" s="9" t="s">
        <v>55</v>
      </c>
      <c r="E2" s="9" t="s">
        <v>1278</v>
      </c>
      <c r="F2" s="9" t="s">
        <v>1279</v>
      </c>
      <c r="G2" s="9" t="s">
        <v>1279</v>
      </c>
      <c r="H2" s="9">
        <v>196</v>
      </c>
      <c r="I2" s="10" t="s">
        <v>1280</v>
      </c>
      <c r="J2" s="10" t="s">
        <v>1281</v>
      </c>
      <c r="K2" s="9">
        <v>2</v>
      </c>
      <c r="L2" s="10" t="s">
        <v>1282</v>
      </c>
      <c r="M2" s="9">
        <v>3</v>
      </c>
      <c r="N2" s="9" t="s">
        <v>62</v>
      </c>
      <c r="O2" s="10" t="s">
        <v>607</v>
      </c>
      <c r="P2" s="10" t="s">
        <v>60</v>
      </c>
      <c r="Q2" s="9">
        <v>0</v>
      </c>
      <c r="R2" s="10"/>
      <c r="S2" s="10"/>
      <c r="T2" s="9" t="s">
        <v>1283</v>
      </c>
      <c r="U2" s="9"/>
    </row>
    <row r="3" spans="1:21" ht="158.4" x14ac:dyDescent="0.3">
      <c r="A3" s="17" t="s">
        <v>1284</v>
      </c>
      <c r="B3" s="18">
        <v>11</v>
      </c>
      <c r="C3" s="9" t="s">
        <v>54</v>
      </c>
      <c r="D3" s="9" t="s">
        <v>55</v>
      </c>
      <c r="E3" s="9" t="s">
        <v>1278</v>
      </c>
      <c r="F3" s="9" t="s">
        <v>1285</v>
      </c>
      <c r="G3" s="9" t="s">
        <v>1285</v>
      </c>
      <c r="H3" s="9">
        <v>197</v>
      </c>
      <c r="I3" s="10" t="s">
        <v>1286</v>
      </c>
      <c r="J3" s="10" t="s">
        <v>1287</v>
      </c>
      <c r="K3" s="9">
        <v>6</v>
      </c>
      <c r="L3" s="10" t="s">
        <v>1288</v>
      </c>
      <c r="M3" s="9">
        <v>8</v>
      </c>
      <c r="N3" s="9" t="s">
        <v>62</v>
      </c>
      <c r="O3" s="10" t="s">
        <v>1289</v>
      </c>
      <c r="P3" s="10" t="s">
        <v>1290</v>
      </c>
      <c r="Q3" s="9">
        <v>3</v>
      </c>
      <c r="R3" s="10" t="s">
        <v>1291</v>
      </c>
      <c r="S3" s="10"/>
      <c r="T3" s="9"/>
      <c r="U3" s="9"/>
    </row>
    <row r="4" spans="1:21" ht="66" x14ac:dyDescent="0.3">
      <c r="A4" s="17" t="s">
        <v>1292</v>
      </c>
      <c r="B4" s="18">
        <v>11</v>
      </c>
      <c r="C4" s="9" t="s">
        <v>54</v>
      </c>
      <c r="D4" s="9" t="s">
        <v>55</v>
      </c>
      <c r="E4" s="9" t="s">
        <v>1293</v>
      </c>
      <c r="F4" s="9" t="s">
        <v>1294</v>
      </c>
      <c r="G4" s="9" t="s">
        <v>1294</v>
      </c>
      <c r="H4" s="9">
        <v>198</v>
      </c>
      <c r="I4" s="10" t="s">
        <v>1295</v>
      </c>
      <c r="J4" s="10" t="s">
        <v>1296</v>
      </c>
      <c r="K4" s="9">
        <v>4</v>
      </c>
      <c r="L4" s="10" t="s">
        <v>1297</v>
      </c>
      <c r="M4" s="9">
        <v>4</v>
      </c>
      <c r="N4" s="9" t="s">
        <v>62</v>
      </c>
      <c r="O4" s="10" t="s">
        <v>1298</v>
      </c>
      <c r="P4" s="10" t="s">
        <v>1299</v>
      </c>
      <c r="Q4" s="9">
        <v>2</v>
      </c>
      <c r="R4" s="10"/>
      <c r="S4" s="10"/>
      <c r="T4" s="9"/>
      <c r="U4" s="9"/>
    </row>
    <row r="5" spans="1:21" ht="105.6" x14ac:dyDescent="0.3">
      <c r="A5" s="17" t="s">
        <v>1300</v>
      </c>
      <c r="B5" s="18">
        <v>11</v>
      </c>
      <c r="C5" s="9" t="s">
        <v>54</v>
      </c>
      <c r="D5" s="9" t="s">
        <v>55</v>
      </c>
      <c r="E5" s="9" t="s">
        <v>1293</v>
      </c>
      <c r="F5" s="9" t="s">
        <v>1301</v>
      </c>
      <c r="G5" s="9" t="s">
        <v>1301</v>
      </c>
      <c r="H5" s="9">
        <v>199</v>
      </c>
      <c r="I5" s="10" t="s">
        <v>1302</v>
      </c>
      <c r="J5" s="10" t="s">
        <v>1303</v>
      </c>
      <c r="K5" s="9">
        <v>2</v>
      </c>
      <c r="L5" s="10" t="s">
        <v>1304</v>
      </c>
      <c r="M5" s="9">
        <v>4</v>
      </c>
      <c r="N5" s="9" t="s">
        <v>62</v>
      </c>
      <c r="O5" s="10" t="s">
        <v>1305</v>
      </c>
      <c r="P5" s="10" t="s">
        <v>1306</v>
      </c>
      <c r="Q5" s="9">
        <v>2</v>
      </c>
      <c r="R5" s="10"/>
      <c r="S5" s="10"/>
      <c r="T5" s="9"/>
      <c r="U5" s="9"/>
    </row>
    <row r="6" spans="1:21" ht="66" x14ac:dyDescent="0.3">
      <c r="A6" s="17" t="s">
        <v>1307</v>
      </c>
      <c r="B6" s="18">
        <v>11</v>
      </c>
      <c r="C6" s="9" t="s">
        <v>54</v>
      </c>
      <c r="D6" s="9" t="s">
        <v>55</v>
      </c>
      <c r="E6" s="9" t="s">
        <v>1293</v>
      </c>
      <c r="F6" s="9" t="s">
        <v>1308</v>
      </c>
      <c r="G6" s="9" t="s">
        <v>1308</v>
      </c>
      <c r="H6" s="9">
        <v>200</v>
      </c>
      <c r="I6" s="10" t="s">
        <v>1309</v>
      </c>
      <c r="J6" s="10" t="s">
        <v>1310</v>
      </c>
      <c r="K6" s="9">
        <v>5</v>
      </c>
      <c r="L6" s="10" t="s">
        <v>1311</v>
      </c>
      <c r="M6" s="9">
        <v>4</v>
      </c>
      <c r="N6" s="9" t="s">
        <v>62</v>
      </c>
      <c r="O6" s="10" t="s">
        <v>1312</v>
      </c>
      <c r="P6" s="10" t="s">
        <v>60</v>
      </c>
      <c r="Q6" s="9">
        <v>0</v>
      </c>
      <c r="R6" s="10"/>
      <c r="S6" s="10"/>
      <c r="T6" s="9"/>
      <c r="U6" s="9"/>
    </row>
    <row r="7" spans="1:21" ht="92.4" x14ac:dyDescent="0.3">
      <c r="A7" s="17" t="s">
        <v>1313</v>
      </c>
      <c r="B7" s="18">
        <v>11</v>
      </c>
      <c r="C7" s="9" t="s">
        <v>54</v>
      </c>
      <c r="D7" s="9" t="s">
        <v>55</v>
      </c>
      <c r="E7" s="9" t="s">
        <v>1293</v>
      </c>
      <c r="F7" s="9" t="s">
        <v>1314</v>
      </c>
      <c r="G7" s="9" t="s">
        <v>1314</v>
      </c>
      <c r="H7" s="9">
        <v>201</v>
      </c>
      <c r="I7" s="10" t="s">
        <v>1315</v>
      </c>
      <c r="J7" s="10" t="s">
        <v>1316</v>
      </c>
      <c r="K7" s="9">
        <v>7</v>
      </c>
      <c r="L7" s="10" t="s">
        <v>1317</v>
      </c>
      <c r="M7" s="9">
        <v>5</v>
      </c>
      <c r="N7" s="9" t="s">
        <v>62</v>
      </c>
      <c r="O7" s="10" t="s">
        <v>1318</v>
      </c>
      <c r="P7" s="10" t="s">
        <v>1319</v>
      </c>
      <c r="Q7" s="9">
        <v>3</v>
      </c>
      <c r="R7" s="10"/>
      <c r="S7" s="10"/>
      <c r="T7" s="9"/>
      <c r="U7" s="9"/>
    </row>
    <row r="8" spans="1:21" ht="52.8" x14ac:dyDescent="0.3">
      <c r="A8" s="17" t="s">
        <v>1320</v>
      </c>
      <c r="B8" s="18">
        <v>11</v>
      </c>
      <c r="C8" s="9" t="s">
        <v>54</v>
      </c>
      <c r="D8" s="9" t="s">
        <v>55</v>
      </c>
      <c r="E8" s="9" t="s">
        <v>1293</v>
      </c>
      <c r="F8" s="9" t="s">
        <v>1321</v>
      </c>
      <c r="G8" s="9" t="s">
        <v>1321</v>
      </c>
      <c r="H8" s="9">
        <v>202</v>
      </c>
      <c r="I8" s="10" t="s">
        <v>1322</v>
      </c>
      <c r="J8" s="10" t="s">
        <v>1323</v>
      </c>
      <c r="K8" s="9">
        <v>3</v>
      </c>
      <c r="L8" s="10" t="s">
        <v>1324</v>
      </c>
      <c r="M8" s="9">
        <v>4</v>
      </c>
      <c r="N8" s="9" t="s">
        <v>62</v>
      </c>
      <c r="O8" s="10" t="s">
        <v>607</v>
      </c>
      <c r="P8" s="10" t="s">
        <v>60</v>
      </c>
      <c r="Q8" s="9">
        <v>0</v>
      </c>
      <c r="R8" s="10"/>
      <c r="S8" s="10"/>
      <c r="T8" s="9"/>
      <c r="U8" s="9"/>
    </row>
    <row r="9" spans="1:21" ht="92.4" x14ac:dyDescent="0.3">
      <c r="A9" s="17" t="s">
        <v>1325</v>
      </c>
      <c r="B9" s="18">
        <v>11</v>
      </c>
      <c r="C9" s="9" t="s">
        <v>54</v>
      </c>
      <c r="D9" s="9" t="s">
        <v>55</v>
      </c>
      <c r="E9" s="9" t="s">
        <v>1293</v>
      </c>
      <c r="F9" s="9" t="s">
        <v>1326</v>
      </c>
      <c r="G9" s="9" t="s">
        <v>1326</v>
      </c>
      <c r="H9" s="9">
        <v>203</v>
      </c>
      <c r="I9" s="10" t="s">
        <v>1327</v>
      </c>
      <c r="J9" s="10" t="s">
        <v>1328</v>
      </c>
      <c r="K9" s="9">
        <v>7</v>
      </c>
      <c r="L9" s="10" t="s">
        <v>1329</v>
      </c>
      <c r="M9" s="9">
        <v>7</v>
      </c>
      <c r="N9" s="9" t="s">
        <v>62</v>
      </c>
      <c r="O9" s="10" t="s">
        <v>1330</v>
      </c>
      <c r="P9" s="10" t="s">
        <v>1331</v>
      </c>
      <c r="Q9" s="9">
        <v>3</v>
      </c>
      <c r="R9" s="10" t="s">
        <v>1332</v>
      </c>
      <c r="S9" s="10"/>
      <c r="T9" s="9"/>
      <c r="U9" s="9"/>
    </row>
    <row r="10" spans="1:21" ht="52.8" x14ac:dyDescent="0.3">
      <c r="A10" s="17" t="s">
        <v>1333</v>
      </c>
      <c r="B10" s="18">
        <v>11</v>
      </c>
      <c r="C10" s="9" t="s">
        <v>54</v>
      </c>
      <c r="D10" s="9" t="s">
        <v>381</v>
      </c>
      <c r="E10" s="9" t="s">
        <v>1334</v>
      </c>
      <c r="F10" s="9" t="s">
        <v>1335</v>
      </c>
      <c r="G10" s="9" t="s">
        <v>1336</v>
      </c>
      <c r="H10" s="9">
        <v>204</v>
      </c>
      <c r="I10" s="10" t="s">
        <v>1337</v>
      </c>
      <c r="J10" s="10" t="s">
        <v>1338</v>
      </c>
      <c r="K10" s="9">
        <v>3</v>
      </c>
      <c r="L10" s="10" t="s">
        <v>1339</v>
      </c>
      <c r="M10" s="9">
        <v>4</v>
      </c>
      <c r="N10" s="9" t="s">
        <v>76</v>
      </c>
      <c r="O10" s="10" t="s">
        <v>1340</v>
      </c>
      <c r="P10" s="10" t="s">
        <v>60</v>
      </c>
      <c r="Q10" s="9">
        <v>0</v>
      </c>
      <c r="R10" s="10"/>
      <c r="S10" s="10"/>
      <c r="T10" s="9"/>
      <c r="U10" s="9"/>
    </row>
    <row r="11" spans="1:21" ht="52.8" x14ac:dyDescent="0.3">
      <c r="A11" s="17" t="s">
        <v>1341</v>
      </c>
      <c r="B11" s="18">
        <v>11</v>
      </c>
      <c r="C11" s="9" t="s">
        <v>54</v>
      </c>
      <c r="D11" s="9" t="s">
        <v>381</v>
      </c>
      <c r="E11" s="9" t="s">
        <v>1334</v>
      </c>
      <c r="F11" s="9" t="s">
        <v>1335</v>
      </c>
      <c r="G11" s="9" t="s">
        <v>1342</v>
      </c>
      <c r="H11" s="9">
        <v>205</v>
      </c>
      <c r="I11" s="10" t="s">
        <v>1343</v>
      </c>
      <c r="J11" s="10" t="s">
        <v>1344</v>
      </c>
      <c r="K11" s="9">
        <v>4</v>
      </c>
      <c r="L11" s="10" t="s">
        <v>1345</v>
      </c>
      <c r="M11" s="9">
        <v>4</v>
      </c>
      <c r="N11" s="9" t="s">
        <v>62</v>
      </c>
      <c r="O11" s="10" t="s">
        <v>1346</v>
      </c>
      <c r="P11" s="10" t="s">
        <v>1347</v>
      </c>
      <c r="Q11" s="9">
        <v>1</v>
      </c>
      <c r="R11" s="10"/>
      <c r="S11" s="10"/>
      <c r="T11" s="9"/>
      <c r="U11" s="9"/>
    </row>
    <row r="12" spans="1:21" ht="92.4" x14ac:dyDescent="0.3">
      <c r="A12" s="17" t="s">
        <v>1348</v>
      </c>
      <c r="B12" s="18">
        <v>11</v>
      </c>
      <c r="C12" s="9" t="s">
        <v>54</v>
      </c>
      <c r="D12" s="9" t="s">
        <v>381</v>
      </c>
      <c r="E12" s="9" t="s">
        <v>1334</v>
      </c>
      <c r="F12" s="9" t="s">
        <v>1335</v>
      </c>
      <c r="G12" s="9" t="s">
        <v>1349</v>
      </c>
      <c r="H12" s="9">
        <v>206</v>
      </c>
      <c r="I12" s="10" t="s">
        <v>1350</v>
      </c>
      <c r="J12" s="10" t="s">
        <v>1351</v>
      </c>
      <c r="K12" s="9">
        <v>7</v>
      </c>
      <c r="L12" s="10" t="s">
        <v>1352</v>
      </c>
      <c r="M12" s="9">
        <v>5</v>
      </c>
      <c r="N12" s="9" t="s">
        <v>62</v>
      </c>
      <c r="O12" s="10" t="s">
        <v>1353</v>
      </c>
      <c r="P12" s="10" t="s">
        <v>1354</v>
      </c>
      <c r="Q12" s="9">
        <v>2</v>
      </c>
      <c r="R12" s="10"/>
      <c r="S12" s="10"/>
      <c r="T12" s="9"/>
      <c r="U12" s="9"/>
    </row>
    <row r="13" spans="1:21" ht="66" x14ac:dyDescent="0.3">
      <c r="A13" s="17" t="s">
        <v>1355</v>
      </c>
      <c r="B13" s="18">
        <v>11</v>
      </c>
      <c r="C13" s="9" t="s">
        <v>54</v>
      </c>
      <c r="D13" s="9" t="s">
        <v>381</v>
      </c>
      <c r="E13" s="9" t="s">
        <v>1334</v>
      </c>
      <c r="F13" s="9" t="s">
        <v>1356</v>
      </c>
      <c r="G13" s="9" t="s">
        <v>1357</v>
      </c>
      <c r="H13" s="9">
        <v>207</v>
      </c>
      <c r="I13" s="10" t="s">
        <v>1358</v>
      </c>
      <c r="J13" s="10" t="s">
        <v>1359</v>
      </c>
      <c r="K13" s="9">
        <v>3</v>
      </c>
      <c r="L13" s="10" t="s">
        <v>1360</v>
      </c>
      <c r="M13" s="9">
        <v>3</v>
      </c>
      <c r="N13" s="9" t="s">
        <v>62</v>
      </c>
      <c r="O13" s="10" t="s">
        <v>1361</v>
      </c>
      <c r="P13" s="10" t="s">
        <v>1362</v>
      </c>
      <c r="Q13" s="9">
        <v>2</v>
      </c>
      <c r="R13" s="10"/>
      <c r="S13" s="10"/>
      <c r="T13" s="9"/>
      <c r="U13" s="9"/>
    </row>
    <row r="14" spans="1:21" ht="105.6" x14ac:dyDescent="0.3">
      <c r="A14" s="17" t="s">
        <v>1363</v>
      </c>
      <c r="B14" s="18">
        <v>11</v>
      </c>
      <c r="C14" s="9" t="s">
        <v>54</v>
      </c>
      <c r="D14" s="9" t="s">
        <v>381</v>
      </c>
      <c r="E14" s="9" t="s">
        <v>1334</v>
      </c>
      <c r="F14" s="9" t="s">
        <v>1356</v>
      </c>
      <c r="G14" s="9" t="s">
        <v>1364</v>
      </c>
      <c r="H14" s="9">
        <v>208</v>
      </c>
      <c r="I14" s="10" t="s">
        <v>1365</v>
      </c>
      <c r="J14" s="10" t="s">
        <v>1366</v>
      </c>
      <c r="K14" s="9">
        <v>8</v>
      </c>
      <c r="L14" s="10" t="s">
        <v>1367</v>
      </c>
      <c r="M14" s="9">
        <v>3</v>
      </c>
      <c r="N14" s="9" t="s">
        <v>62</v>
      </c>
      <c r="O14" s="10" t="s">
        <v>1368</v>
      </c>
      <c r="P14" s="10" t="s">
        <v>60</v>
      </c>
      <c r="Q14" s="9">
        <v>0</v>
      </c>
      <c r="R14" s="10"/>
      <c r="S14" s="10"/>
      <c r="T14" s="9"/>
      <c r="U14" s="9"/>
    </row>
    <row r="15" spans="1:21" ht="92.4" x14ac:dyDescent="0.3">
      <c r="A15" s="17" t="s">
        <v>1369</v>
      </c>
      <c r="B15" s="18">
        <v>11</v>
      </c>
      <c r="C15" s="9" t="s">
        <v>54</v>
      </c>
      <c r="D15" s="9" t="s">
        <v>381</v>
      </c>
      <c r="E15" s="9" t="s">
        <v>1334</v>
      </c>
      <c r="F15" s="9" t="s">
        <v>1356</v>
      </c>
      <c r="G15" s="9" t="s">
        <v>1370</v>
      </c>
      <c r="H15" s="9">
        <v>209</v>
      </c>
      <c r="I15" s="10" t="s">
        <v>1371</v>
      </c>
      <c r="J15" s="10" t="s">
        <v>1372</v>
      </c>
      <c r="K15" s="9">
        <v>6</v>
      </c>
      <c r="L15" s="10" t="s">
        <v>1373</v>
      </c>
      <c r="M15" s="9">
        <v>6</v>
      </c>
      <c r="N15" s="9" t="s">
        <v>62</v>
      </c>
      <c r="O15" s="10" t="s">
        <v>1374</v>
      </c>
      <c r="P15" s="10" t="s">
        <v>1375</v>
      </c>
      <c r="Q15" s="9">
        <v>2</v>
      </c>
      <c r="R15" s="10"/>
      <c r="S15" s="10"/>
      <c r="T15" s="9"/>
      <c r="U15" s="9"/>
    </row>
    <row r="16" spans="1:21" ht="66" x14ac:dyDescent="0.3">
      <c r="A16" s="17" t="s">
        <v>1376</v>
      </c>
      <c r="B16" s="18">
        <v>11</v>
      </c>
      <c r="C16" s="9" t="s">
        <v>54</v>
      </c>
      <c r="D16" s="9" t="s">
        <v>381</v>
      </c>
      <c r="E16" s="9" t="s">
        <v>1334</v>
      </c>
      <c r="F16" s="9" t="s">
        <v>1356</v>
      </c>
      <c r="G16" s="9" t="s">
        <v>1377</v>
      </c>
      <c r="H16" s="9">
        <v>210</v>
      </c>
      <c r="I16" s="10" t="s">
        <v>1378</v>
      </c>
      <c r="J16" s="10" t="s">
        <v>1379</v>
      </c>
      <c r="K16" s="9">
        <v>2</v>
      </c>
      <c r="L16" s="10" t="s">
        <v>1380</v>
      </c>
      <c r="M16" s="9">
        <v>5</v>
      </c>
      <c r="N16" s="9" t="s">
        <v>62</v>
      </c>
      <c r="O16" s="10" t="s">
        <v>1381</v>
      </c>
      <c r="P16" s="10" t="s">
        <v>1382</v>
      </c>
      <c r="Q16" s="9">
        <v>2</v>
      </c>
      <c r="R16" s="10" t="s">
        <v>1383</v>
      </c>
      <c r="S16" s="10"/>
      <c r="T16" s="9"/>
      <c r="U16" s="9"/>
    </row>
    <row r="17" spans="1:21" ht="92.4" x14ac:dyDescent="0.3">
      <c r="A17" s="17" t="s">
        <v>1044</v>
      </c>
      <c r="B17" s="18">
        <v>11</v>
      </c>
      <c r="C17" s="9" t="s">
        <v>54</v>
      </c>
      <c r="D17" s="9" t="s">
        <v>175</v>
      </c>
      <c r="E17" s="9" t="s">
        <v>1384</v>
      </c>
      <c r="F17" s="9" t="s">
        <v>1385</v>
      </c>
      <c r="G17" s="9" t="s">
        <v>1385</v>
      </c>
      <c r="H17" s="9">
        <v>211</v>
      </c>
      <c r="I17" s="10" t="s">
        <v>1386</v>
      </c>
      <c r="J17" s="10" t="s">
        <v>1387</v>
      </c>
      <c r="K17" s="9">
        <v>6</v>
      </c>
      <c r="L17" s="10" t="s">
        <v>1388</v>
      </c>
      <c r="M17" s="9">
        <v>6</v>
      </c>
      <c r="N17" s="9" t="s">
        <v>62</v>
      </c>
      <c r="O17" s="10" t="s">
        <v>1389</v>
      </c>
      <c r="P17" s="10" t="s">
        <v>1390</v>
      </c>
      <c r="Q17" s="9">
        <v>2</v>
      </c>
      <c r="R17" s="10"/>
      <c r="S17" s="10"/>
      <c r="T17" s="9" t="s">
        <v>1039</v>
      </c>
      <c r="U17" s="9"/>
    </row>
    <row r="18" spans="1:21" ht="66" x14ac:dyDescent="0.3">
      <c r="A18" s="17" t="s">
        <v>1391</v>
      </c>
      <c r="B18" s="18">
        <v>11</v>
      </c>
      <c r="C18" s="9" t="s">
        <v>54</v>
      </c>
      <c r="D18" s="9" t="s">
        <v>175</v>
      </c>
      <c r="E18" s="9" t="s">
        <v>1384</v>
      </c>
      <c r="F18" s="9" t="s">
        <v>1392</v>
      </c>
      <c r="G18" s="9" t="s">
        <v>1392</v>
      </c>
      <c r="H18" s="9">
        <v>212</v>
      </c>
      <c r="I18" s="10" t="s">
        <v>1393</v>
      </c>
      <c r="J18" s="10" t="s">
        <v>1394</v>
      </c>
      <c r="K18" s="9">
        <v>5</v>
      </c>
      <c r="L18" s="10" t="s">
        <v>1395</v>
      </c>
      <c r="M18" s="9">
        <v>4</v>
      </c>
      <c r="N18" s="9" t="s">
        <v>62</v>
      </c>
      <c r="O18" s="10" t="s">
        <v>1396</v>
      </c>
      <c r="P18" s="10" t="s">
        <v>1397</v>
      </c>
      <c r="Q18" s="9">
        <v>1</v>
      </c>
      <c r="R18" s="10"/>
      <c r="S18" s="10"/>
      <c r="T18" s="9"/>
      <c r="U18" s="9"/>
    </row>
    <row r="19" spans="1:21" ht="105.6" x14ac:dyDescent="0.3">
      <c r="A19" s="17" t="s">
        <v>1398</v>
      </c>
      <c r="B19" s="18">
        <v>11</v>
      </c>
      <c r="C19" s="9" t="s">
        <v>54</v>
      </c>
      <c r="D19" s="9" t="s">
        <v>175</v>
      </c>
      <c r="E19" s="9" t="s">
        <v>1384</v>
      </c>
      <c r="F19" s="9" t="s">
        <v>1399</v>
      </c>
      <c r="G19" s="9" t="s">
        <v>1399</v>
      </c>
      <c r="H19" s="9">
        <v>213</v>
      </c>
      <c r="I19" s="10" t="s">
        <v>1400</v>
      </c>
      <c r="J19" s="10" t="s">
        <v>1401</v>
      </c>
      <c r="K19" s="9">
        <v>6</v>
      </c>
      <c r="L19" s="10" t="s">
        <v>1402</v>
      </c>
      <c r="M19" s="9">
        <v>7</v>
      </c>
      <c r="N19" s="9" t="s">
        <v>62</v>
      </c>
      <c r="O19" s="10" t="s">
        <v>1403</v>
      </c>
      <c r="P19" s="10" t="s">
        <v>1404</v>
      </c>
      <c r="Q19" s="9">
        <v>3</v>
      </c>
      <c r="R19" s="10"/>
      <c r="S19" s="10"/>
      <c r="T19" s="9"/>
      <c r="U19" s="9"/>
    </row>
    <row r="20" spans="1:21" ht="79.2" x14ac:dyDescent="0.3">
      <c r="A20" s="17" t="s">
        <v>1405</v>
      </c>
      <c r="B20" s="18">
        <v>11</v>
      </c>
      <c r="C20" s="9" t="s">
        <v>54</v>
      </c>
      <c r="D20" s="9" t="s">
        <v>175</v>
      </c>
      <c r="E20" s="9" t="s">
        <v>1384</v>
      </c>
      <c r="F20" s="9" t="s">
        <v>1406</v>
      </c>
      <c r="G20" s="9" t="s">
        <v>1406</v>
      </c>
      <c r="H20" s="9">
        <v>214</v>
      </c>
      <c r="I20" s="10" t="s">
        <v>1407</v>
      </c>
      <c r="J20" s="10" t="s">
        <v>1408</v>
      </c>
      <c r="K20" s="9">
        <v>4</v>
      </c>
      <c r="L20" s="10" t="s">
        <v>1409</v>
      </c>
      <c r="M20" s="9">
        <v>4</v>
      </c>
      <c r="N20" s="9" t="s">
        <v>126</v>
      </c>
      <c r="O20" s="10" t="s">
        <v>1410</v>
      </c>
      <c r="P20" s="10" t="s">
        <v>60</v>
      </c>
      <c r="Q20" s="9">
        <v>0</v>
      </c>
      <c r="R20" s="10" t="s">
        <v>1411</v>
      </c>
      <c r="S20" s="10"/>
      <c r="T20" s="9"/>
      <c r="U20" s="9"/>
    </row>
    <row r="21" spans="1:21" ht="79.2" x14ac:dyDescent="0.3">
      <c r="A21" s="17" t="s">
        <v>1412</v>
      </c>
      <c r="B21" s="18">
        <v>11</v>
      </c>
      <c r="C21" s="9" t="s">
        <v>238</v>
      </c>
      <c r="D21" s="9" t="s">
        <v>239</v>
      </c>
      <c r="E21" s="9" t="s">
        <v>1413</v>
      </c>
      <c r="F21" s="9" t="s">
        <v>467</v>
      </c>
      <c r="G21" s="9" t="s">
        <v>467</v>
      </c>
      <c r="H21" s="9">
        <v>215</v>
      </c>
      <c r="I21" s="10" t="s">
        <v>1414</v>
      </c>
      <c r="J21" s="10" t="s">
        <v>1415</v>
      </c>
      <c r="K21" s="9">
        <v>5</v>
      </c>
      <c r="L21" s="10" t="s">
        <v>1416</v>
      </c>
      <c r="M21" s="9">
        <v>5</v>
      </c>
      <c r="N21" s="9" t="s">
        <v>62</v>
      </c>
      <c r="O21" s="10" t="s">
        <v>607</v>
      </c>
      <c r="P21" s="10" t="s">
        <v>60</v>
      </c>
      <c r="Q21" s="9">
        <v>0</v>
      </c>
      <c r="R21" s="10"/>
      <c r="S21" s="10"/>
      <c r="T21" s="9" t="s">
        <v>1417</v>
      </c>
      <c r="U21" s="9"/>
    </row>
    <row r="22" spans="1:21" ht="66" x14ac:dyDescent="0.3">
      <c r="A22" s="17" t="s">
        <v>1418</v>
      </c>
      <c r="B22" s="18">
        <v>11</v>
      </c>
      <c r="C22" s="9" t="s">
        <v>238</v>
      </c>
      <c r="D22" s="9" t="s">
        <v>239</v>
      </c>
      <c r="E22" s="9" t="s">
        <v>1413</v>
      </c>
      <c r="F22" s="9" t="s">
        <v>1419</v>
      </c>
      <c r="G22" s="9" t="s">
        <v>1419</v>
      </c>
      <c r="H22" s="9">
        <v>216</v>
      </c>
      <c r="I22" s="10" t="s">
        <v>1420</v>
      </c>
      <c r="J22" s="10" t="s">
        <v>1421</v>
      </c>
      <c r="K22" s="9">
        <v>5</v>
      </c>
      <c r="L22" s="10" t="s">
        <v>1422</v>
      </c>
      <c r="M22" s="9">
        <v>5</v>
      </c>
      <c r="N22" s="9" t="s">
        <v>62</v>
      </c>
      <c r="O22" s="10" t="s">
        <v>1423</v>
      </c>
      <c r="P22" s="10" t="s">
        <v>1424</v>
      </c>
      <c r="Q22" s="9">
        <v>2</v>
      </c>
      <c r="R22" s="10"/>
      <c r="S22" s="10"/>
      <c r="T22" s="9"/>
      <c r="U22" s="9"/>
    </row>
    <row r="23" spans="1:21" ht="66" x14ac:dyDescent="0.3">
      <c r="A23" s="17" t="s">
        <v>1425</v>
      </c>
      <c r="B23" s="18">
        <v>11</v>
      </c>
      <c r="C23" s="9" t="s">
        <v>238</v>
      </c>
      <c r="D23" s="9" t="s">
        <v>239</v>
      </c>
      <c r="E23" s="9" t="s">
        <v>1413</v>
      </c>
      <c r="F23" s="9" t="s">
        <v>1426</v>
      </c>
      <c r="G23" s="9" t="s">
        <v>1426</v>
      </c>
      <c r="H23" s="9">
        <v>217</v>
      </c>
      <c r="I23" s="10" t="s">
        <v>1427</v>
      </c>
      <c r="J23" s="10" t="s">
        <v>1428</v>
      </c>
      <c r="K23" s="9">
        <v>5</v>
      </c>
      <c r="L23" s="10" t="s">
        <v>1429</v>
      </c>
      <c r="M23" s="9">
        <v>4</v>
      </c>
      <c r="N23" s="9" t="s">
        <v>62</v>
      </c>
      <c r="O23" s="10" t="s">
        <v>1430</v>
      </c>
      <c r="P23" s="10" t="s">
        <v>60</v>
      </c>
      <c r="Q23" s="9">
        <v>0</v>
      </c>
      <c r="R23" s="10"/>
      <c r="S23" s="10"/>
      <c r="T23" s="9"/>
      <c r="U23" s="9"/>
    </row>
    <row r="24" spans="1:21" ht="66" x14ac:dyDescent="0.3">
      <c r="A24" s="17" t="s">
        <v>1431</v>
      </c>
      <c r="B24" s="18">
        <v>11</v>
      </c>
      <c r="C24" s="9" t="s">
        <v>238</v>
      </c>
      <c r="D24" s="9" t="s">
        <v>239</v>
      </c>
      <c r="E24" s="9" t="s">
        <v>1413</v>
      </c>
      <c r="F24" s="9" t="s">
        <v>1432</v>
      </c>
      <c r="G24" s="9" t="s">
        <v>1432</v>
      </c>
      <c r="H24" s="9">
        <v>218</v>
      </c>
      <c r="I24" s="10" t="s">
        <v>1433</v>
      </c>
      <c r="J24" s="10" t="s">
        <v>1434</v>
      </c>
      <c r="K24" s="9">
        <v>5</v>
      </c>
      <c r="L24" s="10" t="s">
        <v>1435</v>
      </c>
      <c r="M24" s="9">
        <v>4</v>
      </c>
      <c r="N24" s="9" t="s">
        <v>62</v>
      </c>
      <c r="O24" s="10" t="s">
        <v>1436</v>
      </c>
      <c r="P24" s="10" t="s">
        <v>1437</v>
      </c>
      <c r="Q24" s="9">
        <v>2</v>
      </c>
      <c r="R24" s="10"/>
      <c r="S24" s="10"/>
      <c r="T24" s="9"/>
      <c r="U24" s="9"/>
    </row>
    <row r="25" spans="1:21" ht="79.2" x14ac:dyDescent="0.3">
      <c r="A25" s="17" t="s">
        <v>1438</v>
      </c>
      <c r="B25" s="18">
        <v>11</v>
      </c>
      <c r="C25" s="9" t="s">
        <v>238</v>
      </c>
      <c r="D25" s="9" t="s">
        <v>239</v>
      </c>
      <c r="E25" s="9" t="s">
        <v>1413</v>
      </c>
      <c r="F25" s="9" t="s">
        <v>1439</v>
      </c>
      <c r="G25" s="9" t="s">
        <v>1439</v>
      </c>
      <c r="H25" s="9">
        <v>219</v>
      </c>
      <c r="I25" s="10" t="s">
        <v>1440</v>
      </c>
      <c r="J25" s="10" t="s">
        <v>1441</v>
      </c>
      <c r="K25" s="9">
        <v>5</v>
      </c>
      <c r="L25" s="10" t="s">
        <v>1442</v>
      </c>
      <c r="M25" s="9">
        <v>5</v>
      </c>
      <c r="N25" s="9" t="s">
        <v>62</v>
      </c>
      <c r="O25" s="10" t="s">
        <v>1443</v>
      </c>
      <c r="P25" s="10" t="s">
        <v>1444</v>
      </c>
      <c r="Q25" s="9">
        <v>2</v>
      </c>
      <c r="R25" s="10"/>
      <c r="S25" s="10"/>
      <c r="T25" s="9"/>
      <c r="U25" s="9"/>
    </row>
    <row r="26" spans="1:21" ht="66" x14ac:dyDescent="0.3">
      <c r="A26" s="17" t="s">
        <v>1445</v>
      </c>
      <c r="B26" s="18">
        <v>11</v>
      </c>
      <c r="C26" s="9" t="s">
        <v>238</v>
      </c>
      <c r="D26" s="9" t="s">
        <v>239</v>
      </c>
      <c r="E26" s="9" t="s">
        <v>1413</v>
      </c>
      <c r="F26" s="9" t="s">
        <v>1446</v>
      </c>
      <c r="G26" s="9" t="s">
        <v>1446</v>
      </c>
      <c r="H26" s="9">
        <v>220</v>
      </c>
      <c r="I26" s="10" t="s">
        <v>1447</v>
      </c>
      <c r="J26" s="10" t="s">
        <v>1448</v>
      </c>
      <c r="K26" s="9">
        <v>4</v>
      </c>
      <c r="L26" s="10" t="s">
        <v>1449</v>
      </c>
      <c r="M26" s="9">
        <v>5</v>
      </c>
      <c r="N26" s="9" t="s">
        <v>62</v>
      </c>
      <c r="O26" s="10" t="s">
        <v>1450</v>
      </c>
      <c r="P26" s="10" t="s">
        <v>1451</v>
      </c>
      <c r="Q26" s="9">
        <v>2</v>
      </c>
      <c r="R26" s="10" t="s">
        <v>1452</v>
      </c>
      <c r="S26" s="10"/>
      <c r="T26" s="9"/>
      <c r="U26" s="9"/>
    </row>
    <row r="27" spans="1:21" ht="79.2" x14ac:dyDescent="0.3">
      <c r="A27" s="17" t="s">
        <v>688</v>
      </c>
      <c r="B27" s="18">
        <v>11</v>
      </c>
      <c r="C27" s="9" t="s">
        <v>238</v>
      </c>
      <c r="D27" s="9" t="s">
        <v>239</v>
      </c>
      <c r="E27" s="9" t="s">
        <v>1413</v>
      </c>
      <c r="F27" s="9" t="s">
        <v>1453</v>
      </c>
      <c r="G27" s="9" t="s">
        <v>1453</v>
      </c>
      <c r="H27" s="9">
        <v>221</v>
      </c>
      <c r="I27" s="10" t="s">
        <v>1454</v>
      </c>
      <c r="J27" s="10" t="s">
        <v>1455</v>
      </c>
      <c r="K27" s="9">
        <v>5</v>
      </c>
      <c r="L27" s="10" t="s">
        <v>1456</v>
      </c>
      <c r="M27" s="9">
        <v>4</v>
      </c>
      <c r="N27" s="9" t="s">
        <v>62</v>
      </c>
      <c r="O27" s="10" t="s">
        <v>1457</v>
      </c>
      <c r="P27" s="10" t="s">
        <v>1458</v>
      </c>
      <c r="Q27" s="9">
        <v>2</v>
      </c>
      <c r="R27" s="10"/>
      <c r="S27" s="10"/>
      <c r="T27" s="9" t="s">
        <v>681</v>
      </c>
      <c r="U27" s="9"/>
    </row>
    <row r="28" spans="1:21" ht="52.8" x14ac:dyDescent="0.3">
      <c r="A28" s="17" t="s">
        <v>1459</v>
      </c>
      <c r="B28" s="18">
        <v>11</v>
      </c>
      <c r="C28" s="9" t="s">
        <v>238</v>
      </c>
      <c r="D28" s="9" t="s">
        <v>239</v>
      </c>
      <c r="E28" s="9" t="s">
        <v>1413</v>
      </c>
      <c r="F28" s="9" t="s">
        <v>1460</v>
      </c>
      <c r="G28" s="9" t="s">
        <v>1460</v>
      </c>
      <c r="H28" s="9">
        <v>222</v>
      </c>
      <c r="I28" s="10" t="s">
        <v>1461</v>
      </c>
      <c r="J28" s="10" t="s">
        <v>1462</v>
      </c>
      <c r="K28" s="9">
        <v>4</v>
      </c>
      <c r="L28" s="10" t="s">
        <v>1463</v>
      </c>
      <c r="M28" s="9">
        <v>4</v>
      </c>
      <c r="N28" s="9" t="s">
        <v>62</v>
      </c>
      <c r="O28" s="10" t="s">
        <v>1464</v>
      </c>
      <c r="P28" s="10" t="s">
        <v>1465</v>
      </c>
      <c r="Q28" s="9">
        <v>2</v>
      </c>
      <c r="R28" s="10" t="s">
        <v>1466</v>
      </c>
      <c r="S28" s="10"/>
      <c r="T28" s="9"/>
      <c r="U28" s="9"/>
    </row>
    <row r="29" spans="1:21" ht="92.4" x14ac:dyDescent="0.3">
      <c r="A29" s="17" t="s">
        <v>1467</v>
      </c>
      <c r="B29" s="18">
        <v>11</v>
      </c>
      <c r="C29" s="9" t="s">
        <v>238</v>
      </c>
      <c r="D29" s="9" t="s">
        <v>318</v>
      </c>
      <c r="E29" s="9" t="s">
        <v>1468</v>
      </c>
      <c r="F29" s="9" t="s">
        <v>1469</v>
      </c>
      <c r="G29" s="9" t="s">
        <v>1469</v>
      </c>
      <c r="H29" s="9">
        <v>223</v>
      </c>
      <c r="I29" s="10" t="s">
        <v>1470</v>
      </c>
      <c r="J29" s="10" t="s">
        <v>1471</v>
      </c>
      <c r="K29" s="9">
        <v>5</v>
      </c>
      <c r="L29" s="10" t="s">
        <v>1472</v>
      </c>
      <c r="M29" s="9">
        <v>4</v>
      </c>
      <c r="N29" s="9" t="s">
        <v>62</v>
      </c>
      <c r="O29" s="10" t="s">
        <v>1473</v>
      </c>
      <c r="P29" s="10" t="s">
        <v>1474</v>
      </c>
      <c r="Q29" s="9">
        <v>2</v>
      </c>
      <c r="R29" s="10"/>
      <c r="S29" s="10"/>
      <c r="T29" s="9"/>
      <c r="U29" s="9"/>
    </row>
    <row r="30" spans="1:21" ht="66" x14ac:dyDescent="0.3">
      <c r="A30" s="17" t="s">
        <v>1475</v>
      </c>
      <c r="B30" s="18">
        <v>11</v>
      </c>
      <c r="C30" s="9" t="s">
        <v>238</v>
      </c>
      <c r="D30" s="9" t="s">
        <v>318</v>
      </c>
      <c r="E30" s="9" t="s">
        <v>1468</v>
      </c>
      <c r="F30" s="9" t="s">
        <v>1476</v>
      </c>
      <c r="G30" s="9" t="s">
        <v>1476</v>
      </c>
      <c r="H30" s="9">
        <v>224</v>
      </c>
      <c r="I30" s="10" t="s">
        <v>1477</v>
      </c>
      <c r="J30" s="10" t="s">
        <v>1478</v>
      </c>
      <c r="K30" s="9">
        <v>1</v>
      </c>
      <c r="L30" s="10" t="s">
        <v>1479</v>
      </c>
      <c r="M30" s="9">
        <v>5</v>
      </c>
      <c r="N30" s="9" t="s">
        <v>62</v>
      </c>
      <c r="O30" s="10" t="s">
        <v>1480</v>
      </c>
      <c r="P30" s="10" t="s">
        <v>1481</v>
      </c>
      <c r="Q30" s="9">
        <v>2</v>
      </c>
      <c r="R30" s="10"/>
      <c r="S30" s="10"/>
      <c r="T30" s="9"/>
      <c r="U30" s="9"/>
    </row>
    <row r="31" spans="1:21" ht="92.4" x14ac:dyDescent="0.3">
      <c r="A31" s="17" t="s">
        <v>1482</v>
      </c>
      <c r="B31" s="18">
        <v>11</v>
      </c>
      <c r="C31" s="9" t="s">
        <v>238</v>
      </c>
      <c r="D31" s="9" t="s">
        <v>318</v>
      </c>
      <c r="E31" s="9" t="s">
        <v>1468</v>
      </c>
      <c r="F31" s="9" t="s">
        <v>1483</v>
      </c>
      <c r="G31" s="9" t="s">
        <v>1483</v>
      </c>
      <c r="H31" s="9">
        <v>225</v>
      </c>
      <c r="I31" s="10" t="s">
        <v>1484</v>
      </c>
      <c r="J31" s="10" t="s">
        <v>1485</v>
      </c>
      <c r="K31" s="9">
        <v>6</v>
      </c>
      <c r="L31" s="10" t="s">
        <v>1486</v>
      </c>
      <c r="M31" s="9">
        <v>6</v>
      </c>
      <c r="N31" s="9" t="s">
        <v>62</v>
      </c>
      <c r="O31" s="10" t="s">
        <v>1487</v>
      </c>
      <c r="P31" s="10" t="s">
        <v>1488</v>
      </c>
      <c r="Q31" s="9">
        <v>3</v>
      </c>
      <c r="R31" s="10"/>
      <c r="S31" s="10"/>
      <c r="T31" s="9"/>
      <c r="U31" s="9"/>
    </row>
    <row r="32" spans="1:21" ht="79.2" x14ac:dyDescent="0.3">
      <c r="A32" s="17" t="s">
        <v>1489</v>
      </c>
      <c r="B32" s="18">
        <v>11</v>
      </c>
      <c r="C32" s="9" t="s">
        <v>238</v>
      </c>
      <c r="D32" s="9" t="s">
        <v>318</v>
      </c>
      <c r="E32" s="9" t="s">
        <v>1468</v>
      </c>
      <c r="F32" s="9" t="s">
        <v>1490</v>
      </c>
      <c r="G32" s="9" t="s">
        <v>1490</v>
      </c>
      <c r="H32" s="9">
        <v>226</v>
      </c>
      <c r="I32" s="10" t="s">
        <v>1491</v>
      </c>
      <c r="J32" s="10" t="s">
        <v>1492</v>
      </c>
      <c r="K32" s="9">
        <v>6</v>
      </c>
      <c r="L32" s="10" t="s">
        <v>1493</v>
      </c>
      <c r="M32" s="9">
        <v>5</v>
      </c>
      <c r="N32" s="9" t="s">
        <v>62</v>
      </c>
      <c r="O32" s="10" t="s">
        <v>1494</v>
      </c>
      <c r="P32" s="10" t="s">
        <v>1495</v>
      </c>
      <c r="Q32" s="9">
        <v>2</v>
      </c>
      <c r="R32" s="10" t="s">
        <v>1496</v>
      </c>
      <c r="S32" s="10"/>
      <c r="T32" s="9"/>
      <c r="U32" s="9"/>
    </row>
  </sheetData>
  <autoFilter ref="A1:U32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7" customWidth="1"/>
    <col min="3" max="4" width="12" customWidth="1"/>
    <col min="5" max="5" width="30" customWidth="1"/>
    <col min="6" max="6" width="32" customWidth="1"/>
    <col min="7" max="7" width="38" customWidth="1"/>
    <col min="8" max="8" width="9" customWidth="1"/>
    <col min="9" max="10" width="70" customWidth="1"/>
    <col min="11" max="11" width="9" customWidth="1"/>
    <col min="12" max="12" width="70" customWidth="1"/>
    <col min="13" max="13" width="9" customWidth="1"/>
    <col min="14" max="14" width="14" customWidth="1"/>
    <col min="15" max="15" width="55" customWidth="1"/>
    <col min="16" max="16" width="60" customWidth="1"/>
    <col min="17" max="17" width="9" customWidth="1"/>
    <col min="18" max="18" width="50" customWidth="1"/>
    <col min="19" max="19" width="45" customWidth="1"/>
    <col min="20" max="21" width="26" customWidth="1"/>
  </cols>
  <sheetData>
    <row r="1" spans="1:21" ht="30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</row>
    <row r="2" spans="1:21" ht="132" x14ac:dyDescent="0.3">
      <c r="A2" s="19" t="s">
        <v>1497</v>
      </c>
      <c r="B2" s="20">
        <v>12</v>
      </c>
      <c r="C2" s="9" t="s">
        <v>54</v>
      </c>
      <c r="D2" s="9" t="s">
        <v>55</v>
      </c>
      <c r="E2" s="9" t="s">
        <v>1498</v>
      </c>
      <c r="F2" s="9" t="s">
        <v>1499</v>
      </c>
      <c r="G2" s="9" t="s">
        <v>1499</v>
      </c>
      <c r="H2" s="9">
        <v>227</v>
      </c>
      <c r="I2" s="10" t="s">
        <v>1500</v>
      </c>
      <c r="J2" s="10" t="s">
        <v>1501</v>
      </c>
      <c r="K2" s="9">
        <v>10</v>
      </c>
      <c r="L2" s="10" t="s">
        <v>1502</v>
      </c>
      <c r="M2" s="9">
        <v>7</v>
      </c>
      <c r="N2" s="9" t="s">
        <v>62</v>
      </c>
      <c r="O2" s="10" t="s">
        <v>1503</v>
      </c>
      <c r="P2" s="10" t="s">
        <v>1504</v>
      </c>
      <c r="Q2" s="9">
        <v>3</v>
      </c>
      <c r="R2" s="10"/>
      <c r="S2" s="10"/>
      <c r="T2" s="9"/>
      <c r="U2" s="9"/>
    </row>
    <row r="3" spans="1:21" ht="118.8" x14ac:dyDescent="0.3">
      <c r="A3" s="19" t="s">
        <v>1505</v>
      </c>
      <c r="B3" s="20">
        <v>12</v>
      </c>
      <c r="C3" s="9" t="s">
        <v>54</v>
      </c>
      <c r="D3" s="9" t="s">
        <v>55</v>
      </c>
      <c r="E3" s="9" t="s">
        <v>1498</v>
      </c>
      <c r="F3" s="9" t="s">
        <v>1506</v>
      </c>
      <c r="G3" s="9" t="s">
        <v>1506</v>
      </c>
      <c r="H3" s="9">
        <v>228</v>
      </c>
      <c r="I3" s="10" t="s">
        <v>1507</v>
      </c>
      <c r="J3" s="10" t="s">
        <v>1508</v>
      </c>
      <c r="K3" s="9">
        <v>8</v>
      </c>
      <c r="L3" s="10" t="s">
        <v>1509</v>
      </c>
      <c r="M3" s="9">
        <v>6</v>
      </c>
      <c r="N3" s="9" t="s">
        <v>62</v>
      </c>
      <c r="O3" s="10" t="s">
        <v>1510</v>
      </c>
      <c r="P3" s="10" t="s">
        <v>1511</v>
      </c>
      <c r="Q3" s="9">
        <v>3</v>
      </c>
      <c r="R3" s="10" t="s">
        <v>1512</v>
      </c>
      <c r="S3" s="10"/>
      <c r="T3" s="9"/>
      <c r="U3" s="9"/>
    </row>
    <row r="4" spans="1:21" ht="79.2" x14ac:dyDescent="0.3">
      <c r="A4" s="19" t="s">
        <v>1513</v>
      </c>
      <c r="B4" s="20">
        <v>12</v>
      </c>
      <c r="C4" s="9" t="s">
        <v>54</v>
      </c>
      <c r="D4" s="9" t="s">
        <v>55</v>
      </c>
      <c r="E4" s="9" t="s">
        <v>1514</v>
      </c>
      <c r="F4" s="9" t="s">
        <v>1515</v>
      </c>
      <c r="G4" s="9" t="s">
        <v>1515</v>
      </c>
      <c r="H4" s="9">
        <v>229</v>
      </c>
      <c r="I4" s="10" t="s">
        <v>1516</v>
      </c>
      <c r="J4" s="10" t="s">
        <v>60</v>
      </c>
      <c r="K4" s="9">
        <v>0</v>
      </c>
      <c r="L4" s="10" t="s">
        <v>60</v>
      </c>
      <c r="M4" s="9">
        <v>0</v>
      </c>
      <c r="N4" s="9" t="s">
        <v>62</v>
      </c>
      <c r="O4" s="10" t="s">
        <v>1517</v>
      </c>
      <c r="P4" s="10" t="s">
        <v>60</v>
      </c>
      <c r="Q4" s="9">
        <v>0</v>
      </c>
      <c r="R4" s="10"/>
      <c r="S4" s="10"/>
      <c r="T4" s="9"/>
      <c r="U4" s="9"/>
    </row>
    <row r="5" spans="1:21" ht="105.6" x14ac:dyDescent="0.3">
      <c r="A5" s="19" t="s">
        <v>1518</v>
      </c>
      <c r="B5" s="20">
        <v>12</v>
      </c>
      <c r="C5" s="9" t="s">
        <v>54</v>
      </c>
      <c r="D5" s="9" t="s">
        <v>55</v>
      </c>
      <c r="E5" s="9" t="s">
        <v>1514</v>
      </c>
      <c r="F5" s="9" t="s">
        <v>1519</v>
      </c>
      <c r="G5" s="9" t="s">
        <v>1519</v>
      </c>
      <c r="H5" s="9">
        <v>230</v>
      </c>
      <c r="I5" s="10" t="s">
        <v>1520</v>
      </c>
      <c r="J5" s="10" t="s">
        <v>1521</v>
      </c>
      <c r="K5" s="9">
        <v>7</v>
      </c>
      <c r="L5" s="10" t="s">
        <v>1522</v>
      </c>
      <c r="M5" s="9">
        <v>5</v>
      </c>
      <c r="N5" s="9" t="s">
        <v>62</v>
      </c>
      <c r="O5" s="10" t="s">
        <v>1523</v>
      </c>
      <c r="P5" s="10" t="s">
        <v>1524</v>
      </c>
      <c r="Q5" s="9">
        <v>2</v>
      </c>
      <c r="R5" s="10"/>
      <c r="S5" s="10"/>
      <c r="T5" s="9"/>
      <c r="U5" s="9"/>
    </row>
    <row r="6" spans="1:21" ht="118.8" x14ac:dyDescent="0.3">
      <c r="A6" s="19" t="s">
        <v>1525</v>
      </c>
      <c r="B6" s="20">
        <v>12</v>
      </c>
      <c r="C6" s="9" t="s">
        <v>54</v>
      </c>
      <c r="D6" s="9" t="s">
        <v>55</v>
      </c>
      <c r="E6" s="9" t="s">
        <v>1514</v>
      </c>
      <c r="F6" s="9" t="s">
        <v>1526</v>
      </c>
      <c r="G6" s="9" t="s">
        <v>1526</v>
      </c>
      <c r="H6" s="9">
        <v>231</v>
      </c>
      <c r="I6" s="10" t="s">
        <v>1527</v>
      </c>
      <c r="J6" s="10" t="s">
        <v>1528</v>
      </c>
      <c r="K6" s="9">
        <v>7</v>
      </c>
      <c r="L6" s="10" t="s">
        <v>1529</v>
      </c>
      <c r="M6" s="9">
        <v>5</v>
      </c>
      <c r="N6" s="9" t="s">
        <v>62</v>
      </c>
      <c r="O6" s="10" t="s">
        <v>1530</v>
      </c>
      <c r="P6" s="10" t="s">
        <v>1531</v>
      </c>
      <c r="Q6" s="9">
        <v>3</v>
      </c>
      <c r="R6" s="10"/>
      <c r="S6" s="10"/>
      <c r="T6" s="9"/>
      <c r="U6" s="9"/>
    </row>
    <row r="7" spans="1:21" ht="79.2" x14ac:dyDescent="0.3">
      <c r="A7" s="19" t="s">
        <v>1532</v>
      </c>
      <c r="B7" s="20">
        <v>12</v>
      </c>
      <c r="C7" s="9" t="s">
        <v>54</v>
      </c>
      <c r="D7" s="9" t="s">
        <v>55</v>
      </c>
      <c r="E7" s="9" t="s">
        <v>1514</v>
      </c>
      <c r="F7" s="9" t="s">
        <v>1533</v>
      </c>
      <c r="G7" s="9" t="s">
        <v>1533</v>
      </c>
      <c r="H7" s="9">
        <v>232</v>
      </c>
      <c r="I7" s="10" t="s">
        <v>1534</v>
      </c>
      <c r="J7" s="10" t="s">
        <v>1535</v>
      </c>
      <c r="K7" s="9">
        <v>3</v>
      </c>
      <c r="L7" s="10" t="s">
        <v>1536</v>
      </c>
      <c r="M7" s="9">
        <v>5</v>
      </c>
      <c r="N7" s="9" t="s">
        <v>62</v>
      </c>
      <c r="O7" s="10" t="s">
        <v>1537</v>
      </c>
      <c r="P7" s="10" t="s">
        <v>1538</v>
      </c>
      <c r="Q7" s="9">
        <v>3</v>
      </c>
      <c r="R7" s="10"/>
      <c r="S7" s="10"/>
      <c r="T7" s="9"/>
      <c r="U7" s="9"/>
    </row>
    <row r="8" spans="1:21" ht="79.2" x14ac:dyDescent="0.3">
      <c r="A8" s="19" t="s">
        <v>1539</v>
      </c>
      <c r="B8" s="20">
        <v>12</v>
      </c>
      <c r="C8" s="9" t="s">
        <v>54</v>
      </c>
      <c r="D8" s="9" t="s">
        <v>55</v>
      </c>
      <c r="E8" s="9" t="s">
        <v>1514</v>
      </c>
      <c r="F8" s="9" t="s">
        <v>1540</v>
      </c>
      <c r="G8" s="9" t="s">
        <v>1541</v>
      </c>
      <c r="H8" s="9">
        <v>233</v>
      </c>
      <c r="I8" s="10" t="s">
        <v>1542</v>
      </c>
      <c r="J8" s="10" t="s">
        <v>1543</v>
      </c>
      <c r="K8" s="9">
        <v>5</v>
      </c>
      <c r="L8" s="10" t="s">
        <v>1544</v>
      </c>
      <c r="M8" s="9">
        <v>5</v>
      </c>
      <c r="N8" s="9" t="s">
        <v>62</v>
      </c>
      <c r="O8" s="10" t="s">
        <v>1545</v>
      </c>
      <c r="P8" s="10" t="s">
        <v>60</v>
      </c>
      <c r="Q8" s="9">
        <v>0</v>
      </c>
      <c r="R8" s="10"/>
      <c r="S8" s="10"/>
      <c r="T8" s="9"/>
      <c r="U8" s="9"/>
    </row>
    <row r="9" spans="1:21" ht="79.2" x14ac:dyDescent="0.3">
      <c r="A9" s="19" t="s">
        <v>1546</v>
      </c>
      <c r="B9" s="20">
        <v>12</v>
      </c>
      <c r="C9" s="9" t="s">
        <v>54</v>
      </c>
      <c r="D9" s="9" t="s">
        <v>55</v>
      </c>
      <c r="E9" s="9" t="s">
        <v>1514</v>
      </c>
      <c r="F9" s="9" t="s">
        <v>1540</v>
      </c>
      <c r="G9" s="9" t="s">
        <v>1547</v>
      </c>
      <c r="H9" s="9">
        <v>234</v>
      </c>
      <c r="I9" s="10" t="s">
        <v>1548</v>
      </c>
      <c r="J9" s="10" t="s">
        <v>1549</v>
      </c>
      <c r="K9" s="9">
        <v>2</v>
      </c>
      <c r="L9" s="10" t="s">
        <v>1550</v>
      </c>
      <c r="M9" s="9">
        <v>4</v>
      </c>
      <c r="N9" s="9" t="s">
        <v>62</v>
      </c>
      <c r="O9" s="10" t="s">
        <v>1551</v>
      </c>
      <c r="P9" s="10" t="s">
        <v>1552</v>
      </c>
      <c r="Q9" s="9">
        <v>2</v>
      </c>
      <c r="R9" s="10"/>
      <c r="S9" s="10"/>
      <c r="T9" s="9"/>
      <c r="U9" s="9"/>
    </row>
    <row r="10" spans="1:21" ht="39.6" x14ac:dyDescent="0.3">
      <c r="A10" s="19" t="s">
        <v>1553</v>
      </c>
      <c r="B10" s="20">
        <v>12</v>
      </c>
      <c r="C10" s="9" t="s">
        <v>54</v>
      </c>
      <c r="D10" s="9" t="s">
        <v>55</v>
      </c>
      <c r="E10" s="9" t="s">
        <v>1514</v>
      </c>
      <c r="F10" s="9" t="s">
        <v>1540</v>
      </c>
      <c r="G10" s="9" t="s">
        <v>1554</v>
      </c>
      <c r="H10" s="9">
        <v>235</v>
      </c>
      <c r="I10" s="10" t="s">
        <v>1555</v>
      </c>
      <c r="J10" s="10" t="s">
        <v>60</v>
      </c>
      <c r="K10" s="9">
        <v>0</v>
      </c>
      <c r="L10" s="10" t="s">
        <v>60</v>
      </c>
      <c r="M10" s="9">
        <v>0</v>
      </c>
      <c r="N10" s="9" t="s">
        <v>62</v>
      </c>
      <c r="O10" s="10" t="s">
        <v>607</v>
      </c>
      <c r="P10" s="10" t="s">
        <v>60</v>
      </c>
      <c r="Q10" s="9">
        <v>0</v>
      </c>
      <c r="R10" s="10"/>
      <c r="S10" s="10"/>
      <c r="T10" s="9"/>
      <c r="U10" s="9"/>
    </row>
    <row r="11" spans="1:21" ht="105.6" x14ac:dyDescent="0.3">
      <c r="A11" s="19" t="s">
        <v>1556</v>
      </c>
      <c r="B11" s="20">
        <v>12</v>
      </c>
      <c r="C11" s="9" t="s">
        <v>54</v>
      </c>
      <c r="D11" s="9" t="s">
        <v>55</v>
      </c>
      <c r="E11" s="9" t="s">
        <v>1514</v>
      </c>
      <c r="F11" s="9" t="s">
        <v>1540</v>
      </c>
      <c r="G11" s="9" t="s">
        <v>1557</v>
      </c>
      <c r="H11" s="9">
        <v>236</v>
      </c>
      <c r="I11" s="10" t="s">
        <v>1558</v>
      </c>
      <c r="J11" s="10" t="s">
        <v>1559</v>
      </c>
      <c r="K11" s="9">
        <v>5</v>
      </c>
      <c r="L11" s="10" t="s">
        <v>1560</v>
      </c>
      <c r="M11" s="9">
        <v>5</v>
      </c>
      <c r="N11" s="9" t="s">
        <v>62</v>
      </c>
      <c r="O11" s="10" t="s">
        <v>1561</v>
      </c>
      <c r="P11" s="10" t="s">
        <v>1562</v>
      </c>
      <c r="Q11" s="9">
        <v>3</v>
      </c>
      <c r="R11" s="10"/>
      <c r="S11" s="10"/>
      <c r="T11" s="9"/>
      <c r="U11" s="9"/>
    </row>
    <row r="12" spans="1:21" ht="66" x14ac:dyDescent="0.3">
      <c r="A12" s="19" t="s">
        <v>1563</v>
      </c>
      <c r="B12" s="20">
        <v>12</v>
      </c>
      <c r="C12" s="9" t="s">
        <v>54</v>
      </c>
      <c r="D12" s="9" t="s">
        <v>55</v>
      </c>
      <c r="E12" s="9" t="s">
        <v>1514</v>
      </c>
      <c r="F12" s="9" t="s">
        <v>1540</v>
      </c>
      <c r="G12" s="9" t="s">
        <v>1564</v>
      </c>
      <c r="H12" s="9">
        <v>237</v>
      </c>
      <c r="I12" s="10" t="s">
        <v>1565</v>
      </c>
      <c r="J12" s="10" t="s">
        <v>1566</v>
      </c>
      <c r="K12" s="9">
        <v>2</v>
      </c>
      <c r="L12" s="10" t="s">
        <v>1567</v>
      </c>
      <c r="M12" s="9">
        <v>4</v>
      </c>
      <c r="N12" s="9" t="s">
        <v>62</v>
      </c>
      <c r="O12" s="10" t="s">
        <v>1568</v>
      </c>
      <c r="P12" s="10" t="s">
        <v>60</v>
      </c>
      <c r="Q12" s="9">
        <v>0</v>
      </c>
      <c r="R12" s="10" t="s">
        <v>1569</v>
      </c>
      <c r="S12" s="10"/>
      <c r="T12" s="9"/>
      <c r="U12" s="9"/>
    </row>
    <row r="13" spans="1:21" ht="79.2" x14ac:dyDescent="0.3">
      <c r="A13" s="19" t="s">
        <v>1570</v>
      </c>
      <c r="B13" s="20">
        <v>12</v>
      </c>
      <c r="C13" s="9" t="s">
        <v>54</v>
      </c>
      <c r="D13" s="9" t="s">
        <v>175</v>
      </c>
      <c r="E13" s="9" t="s">
        <v>1571</v>
      </c>
      <c r="F13" s="9" t="s">
        <v>1572</v>
      </c>
      <c r="G13" s="9" t="s">
        <v>1572</v>
      </c>
      <c r="H13" s="9">
        <v>238</v>
      </c>
      <c r="I13" s="10" t="s">
        <v>1573</v>
      </c>
      <c r="J13" s="10" t="s">
        <v>1574</v>
      </c>
      <c r="K13" s="9">
        <v>5</v>
      </c>
      <c r="L13" s="10" t="s">
        <v>1575</v>
      </c>
      <c r="M13" s="9">
        <v>4</v>
      </c>
      <c r="N13" s="9" t="s">
        <v>62</v>
      </c>
      <c r="O13" s="10" t="s">
        <v>1576</v>
      </c>
      <c r="P13" s="10" t="s">
        <v>1577</v>
      </c>
      <c r="Q13" s="9">
        <v>2</v>
      </c>
      <c r="R13" s="10"/>
      <c r="S13" s="10"/>
      <c r="T13" s="9"/>
      <c r="U13" s="9"/>
    </row>
    <row r="14" spans="1:21" ht="52.8" x14ac:dyDescent="0.3">
      <c r="A14" s="19" t="s">
        <v>1578</v>
      </c>
      <c r="B14" s="20">
        <v>12</v>
      </c>
      <c r="C14" s="9" t="s">
        <v>54</v>
      </c>
      <c r="D14" s="9" t="s">
        <v>175</v>
      </c>
      <c r="E14" s="9" t="s">
        <v>1571</v>
      </c>
      <c r="F14" s="9" t="s">
        <v>1579</v>
      </c>
      <c r="G14" s="9" t="s">
        <v>1579</v>
      </c>
      <c r="H14" s="9">
        <v>239</v>
      </c>
      <c r="I14" s="10" t="s">
        <v>1580</v>
      </c>
      <c r="J14" s="10" t="s">
        <v>1581</v>
      </c>
      <c r="K14" s="9">
        <v>4</v>
      </c>
      <c r="L14" s="10" t="s">
        <v>1582</v>
      </c>
      <c r="M14" s="9">
        <v>3</v>
      </c>
      <c r="N14" s="9" t="s">
        <v>62</v>
      </c>
      <c r="O14" s="10" t="s">
        <v>1583</v>
      </c>
      <c r="P14" s="10" t="s">
        <v>60</v>
      </c>
      <c r="Q14" s="9">
        <v>0</v>
      </c>
      <c r="R14" s="10"/>
      <c r="S14" s="10"/>
      <c r="T14" s="9"/>
      <c r="U14" s="9"/>
    </row>
    <row r="15" spans="1:21" ht="39.6" x14ac:dyDescent="0.3">
      <c r="A15" s="19" t="s">
        <v>1584</v>
      </c>
      <c r="B15" s="20">
        <v>12</v>
      </c>
      <c r="C15" s="9" t="s">
        <v>54</v>
      </c>
      <c r="D15" s="9" t="s">
        <v>175</v>
      </c>
      <c r="E15" s="9" t="s">
        <v>1571</v>
      </c>
      <c r="F15" s="9" t="s">
        <v>1585</v>
      </c>
      <c r="G15" s="9" t="s">
        <v>1585</v>
      </c>
      <c r="H15" s="9">
        <v>240</v>
      </c>
      <c r="I15" s="10" t="s">
        <v>1586</v>
      </c>
      <c r="J15" s="10" t="s">
        <v>60</v>
      </c>
      <c r="K15" s="9">
        <v>0</v>
      </c>
      <c r="L15" s="10" t="s">
        <v>1587</v>
      </c>
      <c r="M15" s="9">
        <v>3</v>
      </c>
      <c r="N15" s="9" t="s">
        <v>126</v>
      </c>
      <c r="O15" s="10" t="s">
        <v>538</v>
      </c>
      <c r="P15" s="10" t="s">
        <v>60</v>
      </c>
      <c r="Q15" s="9">
        <v>0</v>
      </c>
      <c r="R15" s="10"/>
      <c r="S15" s="10"/>
      <c r="T15" s="9"/>
      <c r="U15" s="9"/>
    </row>
    <row r="16" spans="1:21" ht="118.8" x14ac:dyDescent="0.3">
      <c r="A16" s="19" t="s">
        <v>1588</v>
      </c>
      <c r="B16" s="20">
        <v>12</v>
      </c>
      <c r="C16" s="9" t="s">
        <v>54</v>
      </c>
      <c r="D16" s="9" t="s">
        <v>175</v>
      </c>
      <c r="E16" s="9" t="s">
        <v>1571</v>
      </c>
      <c r="F16" s="9" t="s">
        <v>1589</v>
      </c>
      <c r="G16" s="9" t="s">
        <v>1589</v>
      </c>
      <c r="H16" s="9">
        <v>241</v>
      </c>
      <c r="I16" s="10" t="s">
        <v>1590</v>
      </c>
      <c r="J16" s="10" t="s">
        <v>1591</v>
      </c>
      <c r="K16" s="9">
        <v>9</v>
      </c>
      <c r="L16" s="10" t="s">
        <v>1592</v>
      </c>
      <c r="M16" s="9">
        <v>7</v>
      </c>
      <c r="N16" s="9" t="s">
        <v>62</v>
      </c>
      <c r="O16" s="10" t="s">
        <v>1593</v>
      </c>
      <c r="P16" s="10" t="s">
        <v>1594</v>
      </c>
      <c r="Q16" s="9">
        <v>3</v>
      </c>
      <c r="R16" s="10" t="s">
        <v>1595</v>
      </c>
      <c r="S16" s="10"/>
      <c r="T16" s="9"/>
      <c r="U16" s="9"/>
    </row>
    <row r="17" spans="1:21" ht="66" x14ac:dyDescent="0.3">
      <c r="A17" s="19" t="s">
        <v>1596</v>
      </c>
      <c r="B17" s="20">
        <v>12</v>
      </c>
      <c r="C17" s="9" t="s">
        <v>54</v>
      </c>
      <c r="D17" s="9" t="s">
        <v>175</v>
      </c>
      <c r="E17" s="9" t="s">
        <v>1597</v>
      </c>
      <c r="F17" s="9" t="s">
        <v>1598</v>
      </c>
      <c r="G17" s="9" t="s">
        <v>1598</v>
      </c>
      <c r="H17" s="9">
        <v>242</v>
      </c>
      <c r="I17" s="10" t="s">
        <v>1599</v>
      </c>
      <c r="J17" s="10" t="s">
        <v>60</v>
      </c>
      <c r="K17" s="9">
        <v>0</v>
      </c>
      <c r="L17" s="10" t="s">
        <v>60</v>
      </c>
      <c r="M17" s="9">
        <v>0</v>
      </c>
      <c r="N17" s="9" t="s">
        <v>62</v>
      </c>
      <c r="O17" s="10" t="s">
        <v>607</v>
      </c>
      <c r="P17" s="10" t="s">
        <v>60</v>
      </c>
      <c r="Q17" s="9">
        <v>0</v>
      </c>
      <c r="R17" s="10"/>
      <c r="S17" s="10"/>
      <c r="T17" s="9"/>
      <c r="U17" s="9"/>
    </row>
    <row r="18" spans="1:21" ht="105.6" x14ac:dyDescent="0.3">
      <c r="A18" s="19" t="s">
        <v>1600</v>
      </c>
      <c r="B18" s="20">
        <v>12</v>
      </c>
      <c r="C18" s="9" t="s">
        <v>54</v>
      </c>
      <c r="D18" s="9" t="s">
        <v>175</v>
      </c>
      <c r="E18" s="9" t="s">
        <v>1597</v>
      </c>
      <c r="F18" s="9" t="s">
        <v>1601</v>
      </c>
      <c r="G18" s="9" t="s">
        <v>1601</v>
      </c>
      <c r="H18" s="9">
        <v>243</v>
      </c>
      <c r="I18" s="10" t="s">
        <v>1602</v>
      </c>
      <c r="J18" s="10" t="s">
        <v>1603</v>
      </c>
      <c r="K18" s="9">
        <v>6</v>
      </c>
      <c r="L18" s="10" t="s">
        <v>1604</v>
      </c>
      <c r="M18" s="9">
        <v>7</v>
      </c>
      <c r="N18" s="9" t="s">
        <v>62</v>
      </c>
      <c r="O18" s="10" t="s">
        <v>1605</v>
      </c>
      <c r="P18" s="10" t="s">
        <v>1606</v>
      </c>
      <c r="Q18" s="9">
        <v>3</v>
      </c>
      <c r="R18" s="10"/>
      <c r="S18" s="10"/>
      <c r="T18" s="9"/>
      <c r="U18" s="9"/>
    </row>
    <row r="19" spans="1:21" ht="66" x14ac:dyDescent="0.3">
      <c r="A19" s="19" t="s">
        <v>1607</v>
      </c>
      <c r="B19" s="20">
        <v>12</v>
      </c>
      <c r="C19" s="9" t="s">
        <v>54</v>
      </c>
      <c r="D19" s="9" t="s">
        <v>175</v>
      </c>
      <c r="E19" s="9" t="s">
        <v>1597</v>
      </c>
      <c r="F19" s="9" t="s">
        <v>1608</v>
      </c>
      <c r="G19" s="9" t="s">
        <v>1608</v>
      </c>
      <c r="H19" s="9">
        <v>244</v>
      </c>
      <c r="I19" s="10" t="s">
        <v>1609</v>
      </c>
      <c r="J19" s="10" t="s">
        <v>1610</v>
      </c>
      <c r="K19" s="9">
        <v>4</v>
      </c>
      <c r="L19" s="10" t="s">
        <v>1611</v>
      </c>
      <c r="M19" s="9">
        <v>3</v>
      </c>
      <c r="N19" s="9" t="s">
        <v>126</v>
      </c>
      <c r="O19" s="10" t="s">
        <v>1612</v>
      </c>
      <c r="P19" s="10" t="s">
        <v>60</v>
      </c>
      <c r="Q19" s="9">
        <v>0</v>
      </c>
      <c r="R19" s="10"/>
      <c r="S19" s="10"/>
      <c r="T19" s="9"/>
      <c r="U19" s="9"/>
    </row>
    <row r="20" spans="1:21" ht="66" x14ac:dyDescent="0.3">
      <c r="A20" s="19" t="s">
        <v>1613</v>
      </c>
      <c r="B20" s="20">
        <v>12</v>
      </c>
      <c r="C20" s="9" t="s">
        <v>54</v>
      </c>
      <c r="D20" s="9" t="s">
        <v>175</v>
      </c>
      <c r="E20" s="9" t="s">
        <v>1597</v>
      </c>
      <c r="F20" s="9" t="s">
        <v>1614</v>
      </c>
      <c r="G20" s="9" t="s">
        <v>1614</v>
      </c>
      <c r="H20" s="9">
        <v>245</v>
      </c>
      <c r="I20" s="10" t="s">
        <v>1615</v>
      </c>
      <c r="J20" s="10" t="s">
        <v>1616</v>
      </c>
      <c r="K20" s="9">
        <v>3</v>
      </c>
      <c r="L20" s="10" t="s">
        <v>1617</v>
      </c>
      <c r="M20" s="9">
        <v>5</v>
      </c>
      <c r="N20" s="9" t="s">
        <v>62</v>
      </c>
      <c r="O20" s="10" t="s">
        <v>1618</v>
      </c>
      <c r="P20" s="10" t="s">
        <v>1619</v>
      </c>
      <c r="Q20" s="9">
        <v>2</v>
      </c>
      <c r="R20" s="10"/>
      <c r="S20" s="10"/>
      <c r="T20" s="9"/>
      <c r="U20" s="9"/>
    </row>
    <row r="21" spans="1:21" ht="66" x14ac:dyDescent="0.3">
      <c r="A21" s="19" t="s">
        <v>1620</v>
      </c>
      <c r="B21" s="20">
        <v>12</v>
      </c>
      <c r="C21" s="9" t="s">
        <v>54</v>
      </c>
      <c r="D21" s="9" t="s">
        <v>175</v>
      </c>
      <c r="E21" s="9" t="s">
        <v>1597</v>
      </c>
      <c r="F21" s="9" t="s">
        <v>1621</v>
      </c>
      <c r="G21" s="9" t="s">
        <v>1621</v>
      </c>
      <c r="H21" s="9">
        <v>246</v>
      </c>
      <c r="I21" s="10" t="s">
        <v>1622</v>
      </c>
      <c r="J21" s="10" t="s">
        <v>1623</v>
      </c>
      <c r="K21" s="9">
        <v>4</v>
      </c>
      <c r="L21" s="10" t="s">
        <v>1624</v>
      </c>
      <c r="M21" s="9">
        <v>4</v>
      </c>
      <c r="N21" s="9" t="s">
        <v>62</v>
      </c>
      <c r="O21" s="10" t="s">
        <v>1625</v>
      </c>
      <c r="P21" s="10" t="s">
        <v>1626</v>
      </c>
      <c r="Q21" s="9">
        <v>2</v>
      </c>
      <c r="R21" s="10" t="s">
        <v>1627</v>
      </c>
      <c r="S21" s="10"/>
      <c r="T21" s="9"/>
      <c r="U21" s="9"/>
    </row>
    <row r="22" spans="1:21" ht="66" x14ac:dyDescent="0.3">
      <c r="A22" s="19" t="s">
        <v>1628</v>
      </c>
      <c r="B22" s="20">
        <v>12</v>
      </c>
      <c r="C22" s="9" t="s">
        <v>54</v>
      </c>
      <c r="D22" s="9" t="s">
        <v>175</v>
      </c>
      <c r="E22" s="9" t="s">
        <v>1629</v>
      </c>
      <c r="F22" s="9" t="s">
        <v>1630</v>
      </c>
      <c r="G22" s="9" t="s">
        <v>1630</v>
      </c>
      <c r="H22" s="9">
        <v>247</v>
      </c>
      <c r="I22" s="10" t="s">
        <v>1631</v>
      </c>
      <c r="J22" s="10" t="s">
        <v>60</v>
      </c>
      <c r="K22" s="9">
        <v>0</v>
      </c>
      <c r="L22" s="10" t="s">
        <v>60</v>
      </c>
      <c r="M22" s="9">
        <v>0</v>
      </c>
      <c r="N22" s="9" t="s">
        <v>62</v>
      </c>
      <c r="O22" s="10" t="s">
        <v>607</v>
      </c>
      <c r="P22" s="10" t="s">
        <v>60</v>
      </c>
      <c r="Q22" s="9">
        <v>0</v>
      </c>
      <c r="R22" s="10"/>
      <c r="S22" s="10"/>
      <c r="T22" s="9"/>
      <c r="U22" s="9"/>
    </row>
    <row r="23" spans="1:21" ht="52.8" x14ac:dyDescent="0.3">
      <c r="A23" s="19" t="s">
        <v>1201</v>
      </c>
      <c r="B23" s="20">
        <v>12</v>
      </c>
      <c r="C23" s="9" t="s">
        <v>54</v>
      </c>
      <c r="D23" s="9" t="s">
        <v>175</v>
      </c>
      <c r="E23" s="9" t="s">
        <v>1629</v>
      </c>
      <c r="F23" s="9" t="s">
        <v>1632</v>
      </c>
      <c r="G23" s="9" t="s">
        <v>1632</v>
      </c>
      <c r="H23" s="9">
        <v>248</v>
      </c>
      <c r="I23" s="10" t="s">
        <v>1633</v>
      </c>
      <c r="J23" s="10" t="s">
        <v>1634</v>
      </c>
      <c r="K23" s="9">
        <v>1</v>
      </c>
      <c r="L23" s="10" t="s">
        <v>1635</v>
      </c>
      <c r="M23" s="9">
        <v>4</v>
      </c>
      <c r="N23" s="9" t="s">
        <v>62</v>
      </c>
      <c r="O23" s="10" t="s">
        <v>607</v>
      </c>
      <c r="P23" s="10" t="s">
        <v>60</v>
      </c>
      <c r="Q23" s="9">
        <v>0</v>
      </c>
      <c r="R23" s="10"/>
      <c r="S23" s="10"/>
      <c r="T23" s="9" t="s">
        <v>1636</v>
      </c>
      <c r="U23" s="9"/>
    </row>
    <row r="24" spans="1:21" ht="52.8" x14ac:dyDescent="0.3">
      <c r="A24" s="19" t="s">
        <v>1215</v>
      </c>
      <c r="B24" s="20">
        <v>12</v>
      </c>
      <c r="C24" s="9" t="s">
        <v>54</v>
      </c>
      <c r="D24" s="9" t="s">
        <v>175</v>
      </c>
      <c r="E24" s="9" t="s">
        <v>1629</v>
      </c>
      <c r="F24" s="9" t="s">
        <v>1637</v>
      </c>
      <c r="G24" s="9" t="s">
        <v>1637</v>
      </c>
      <c r="H24" s="9">
        <v>249</v>
      </c>
      <c r="I24" s="10" t="s">
        <v>1638</v>
      </c>
      <c r="J24" s="10" t="s">
        <v>1639</v>
      </c>
      <c r="K24" s="9">
        <v>3</v>
      </c>
      <c r="L24" s="10" t="s">
        <v>1640</v>
      </c>
      <c r="M24" s="9">
        <v>4</v>
      </c>
      <c r="N24" s="9" t="s">
        <v>62</v>
      </c>
      <c r="O24" s="10" t="s">
        <v>607</v>
      </c>
      <c r="P24" s="10" t="s">
        <v>60</v>
      </c>
      <c r="Q24" s="9">
        <v>0</v>
      </c>
      <c r="R24" s="10"/>
      <c r="S24" s="10"/>
      <c r="T24" s="9" t="s">
        <v>1641</v>
      </c>
      <c r="U24" s="9"/>
    </row>
    <row r="25" spans="1:21" ht="66" x14ac:dyDescent="0.3">
      <c r="A25" s="19" t="s">
        <v>857</v>
      </c>
      <c r="B25" s="20">
        <v>12</v>
      </c>
      <c r="C25" s="9" t="s">
        <v>54</v>
      </c>
      <c r="D25" s="9" t="s">
        <v>175</v>
      </c>
      <c r="E25" s="9" t="s">
        <v>1629</v>
      </c>
      <c r="F25" s="9" t="s">
        <v>1642</v>
      </c>
      <c r="G25" s="9" t="s">
        <v>1642</v>
      </c>
      <c r="H25" s="9">
        <v>250</v>
      </c>
      <c r="I25" s="10" t="s">
        <v>1643</v>
      </c>
      <c r="J25" s="10" t="s">
        <v>1644</v>
      </c>
      <c r="K25" s="9">
        <v>3</v>
      </c>
      <c r="L25" s="10" t="s">
        <v>1645</v>
      </c>
      <c r="M25" s="9">
        <v>5</v>
      </c>
      <c r="N25" s="9" t="s">
        <v>62</v>
      </c>
      <c r="O25" s="10" t="s">
        <v>1646</v>
      </c>
      <c r="P25" s="10" t="s">
        <v>1647</v>
      </c>
      <c r="Q25" s="9">
        <v>2</v>
      </c>
      <c r="R25" s="10"/>
      <c r="S25" s="10"/>
      <c r="T25" s="9" t="s">
        <v>850</v>
      </c>
      <c r="U25" s="9"/>
    </row>
    <row r="26" spans="1:21" ht="66" x14ac:dyDescent="0.3">
      <c r="A26" s="19" t="s">
        <v>864</v>
      </c>
      <c r="B26" s="20">
        <v>12</v>
      </c>
      <c r="C26" s="9" t="s">
        <v>54</v>
      </c>
      <c r="D26" s="9" t="s">
        <v>175</v>
      </c>
      <c r="E26" s="9" t="s">
        <v>1629</v>
      </c>
      <c r="F26" s="9" t="s">
        <v>1648</v>
      </c>
      <c r="G26" s="9" t="s">
        <v>1648</v>
      </c>
      <c r="H26" s="9">
        <v>251</v>
      </c>
      <c r="I26" s="10" t="s">
        <v>1649</v>
      </c>
      <c r="J26" s="10" t="s">
        <v>1650</v>
      </c>
      <c r="K26" s="9">
        <v>4</v>
      </c>
      <c r="L26" s="10" t="s">
        <v>1651</v>
      </c>
      <c r="M26" s="9">
        <v>4</v>
      </c>
      <c r="N26" s="9" t="s">
        <v>62</v>
      </c>
      <c r="O26" s="10" t="s">
        <v>1652</v>
      </c>
      <c r="P26" s="10" t="s">
        <v>1653</v>
      </c>
      <c r="Q26" s="9">
        <v>1</v>
      </c>
      <c r="R26" s="10"/>
      <c r="S26" s="10"/>
      <c r="T26" s="9" t="s">
        <v>858</v>
      </c>
      <c r="U26" s="9"/>
    </row>
    <row r="27" spans="1:21" ht="92.4" x14ac:dyDescent="0.3">
      <c r="A27" s="19" t="s">
        <v>1654</v>
      </c>
      <c r="B27" s="20">
        <v>12</v>
      </c>
      <c r="C27" s="9" t="s">
        <v>54</v>
      </c>
      <c r="D27" s="9" t="s">
        <v>175</v>
      </c>
      <c r="E27" s="9" t="s">
        <v>1629</v>
      </c>
      <c r="F27" s="9" t="s">
        <v>1655</v>
      </c>
      <c r="G27" s="9" t="s">
        <v>1655</v>
      </c>
      <c r="H27" s="9">
        <v>252</v>
      </c>
      <c r="I27" s="10" t="s">
        <v>1656</v>
      </c>
      <c r="J27" s="10" t="s">
        <v>1657</v>
      </c>
      <c r="K27" s="9">
        <v>7</v>
      </c>
      <c r="L27" s="10" t="s">
        <v>1658</v>
      </c>
      <c r="M27" s="9">
        <v>7</v>
      </c>
      <c r="N27" s="9" t="s">
        <v>62</v>
      </c>
      <c r="O27" s="10" t="s">
        <v>1659</v>
      </c>
      <c r="P27" s="10" t="s">
        <v>1660</v>
      </c>
      <c r="Q27" s="9">
        <v>2</v>
      </c>
      <c r="R27" s="10"/>
      <c r="S27" s="10"/>
      <c r="T27" s="9"/>
      <c r="U27" s="9"/>
    </row>
    <row r="28" spans="1:21" ht="52.8" x14ac:dyDescent="0.3">
      <c r="A28" s="19" t="s">
        <v>1661</v>
      </c>
      <c r="B28" s="20">
        <v>12</v>
      </c>
      <c r="C28" s="9" t="s">
        <v>54</v>
      </c>
      <c r="D28" s="9" t="s">
        <v>175</v>
      </c>
      <c r="E28" s="9" t="s">
        <v>1629</v>
      </c>
      <c r="F28" s="9" t="s">
        <v>1662</v>
      </c>
      <c r="G28" s="9" t="s">
        <v>1662</v>
      </c>
      <c r="H28" s="9">
        <v>253</v>
      </c>
      <c r="I28" s="10" t="s">
        <v>1663</v>
      </c>
      <c r="J28" s="10" t="s">
        <v>1664</v>
      </c>
      <c r="K28" s="9">
        <v>3</v>
      </c>
      <c r="L28" s="10" t="s">
        <v>1665</v>
      </c>
      <c r="M28" s="9">
        <v>4</v>
      </c>
      <c r="N28" s="9" t="s">
        <v>62</v>
      </c>
      <c r="O28" s="10" t="s">
        <v>1666</v>
      </c>
      <c r="P28" s="10" t="s">
        <v>60</v>
      </c>
      <c r="Q28" s="9">
        <v>0</v>
      </c>
      <c r="R28" s="10" t="s">
        <v>1667</v>
      </c>
      <c r="S28" s="10"/>
      <c r="T28" s="9"/>
      <c r="U28" s="9"/>
    </row>
    <row r="29" spans="1:21" ht="66" x14ac:dyDescent="0.3">
      <c r="A29" s="19" t="s">
        <v>1668</v>
      </c>
      <c r="B29" s="20">
        <v>12</v>
      </c>
      <c r="C29" s="9" t="s">
        <v>238</v>
      </c>
      <c r="D29" s="9" t="s">
        <v>239</v>
      </c>
      <c r="E29" s="9" t="s">
        <v>1669</v>
      </c>
      <c r="F29" s="9" t="s">
        <v>1670</v>
      </c>
      <c r="G29" s="9" t="s">
        <v>1670</v>
      </c>
      <c r="H29" s="9">
        <v>254</v>
      </c>
      <c r="I29" s="10" t="s">
        <v>1671</v>
      </c>
      <c r="J29" s="10" t="s">
        <v>1672</v>
      </c>
      <c r="K29" s="9">
        <v>4</v>
      </c>
      <c r="L29" s="10" t="s">
        <v>1673</v>
      </c>
      <c r="M29" s="9">
        <v>3</v>
      </c>
      <c r="N29" s="9" t="s">
        <v>62</v>
      </c>
      <c r="O29" s="10" t="s">
        <v>1674</v>
      </c>
      <c r="P29" s="10" t="s">
        <v>1675</v>
      </c>
      <c r="Q29" s="9">
        <v>1</v>
      </c>
      <c r="R29" s="10"/>
      <c r="S29" s="10"/>
      <c r="T29" s="9"/>
      <c r="U29" s="9"/>
    </row>
    <row r="30" spans="1:21" ht="92.4" x14ac:dyDescent="0.3">
      <c r="A30" s="19" t="s">
        <v>1676</v>
      </c>
      <c r="B30" s="20">
        <v>12</v>
      </c>
      <c r="C30" s="9" t="s">
        <v>238</v>
      </c>
      <c r="D30" s="9" t="s">
        <v>239</v>
      </c>
      <c r="E30" s="9" t="s">
        <v>1669</v>
      </c>
      <c r="F30" s="9" t="s">
        <v>1677</v>
      </c>
      <c r="G30" s="9" t="s">
        <v>1677</v>
      </c>
      <c r="H30" s="9">
        <v>255</v>
      </c>
      <c r="I30" s="10" t="s">
        <v>1678</v>
      </c>
      <c r="J30" s="10" t="s">
        <v>1679</v>
      </c>
      <c r="K30" s="9">
        <v>6</v>
      </c>
      <c r="L30" s="10" t="s">
        <v>1680</v>
      </c>
      <c r="M30" s="9">
        <v>6</v>
      </c>
      <c r="N30" s="9" t="s">
        <v>62</v>
      </c>
      <c r="O30" s="10" t="s">
        <v>1681</v>
      </c>
      <c r="P30" s="10" t="s">
        <v>1682</v>
      </c>
      <c r="Q30" s="9">
        <v>3</v>
      </c>
      <c r="R30" s="10"/>
      <c r="S30" s="10"/>
      <c r="T30" s="9"/>
      <c r="U30" s="9"/>
    </row>
    <row r="31" spans="1:21" ht="79.2" x14ac:dyDescent="0.3">
      <c r="A31" s="19" t="s">
        <v>1683</v>
      </c>
      <c r="B31" s="20">
        <v>12</v>
      </c>
      <c r="C31" s="9" t="s">
        <v>238</v>
      </c>
      <c r="D31" s="9" t="s">
        <v>239</v>
      </c>
      <c r="E31" s="9" t="s">
        <v>1669</v>
      </c>
      <c r="F31" s="9" t="s">
        <v>1684</v>
      </c>
      <c r="G31" s="9" t="s">
        <v>1684</v>
      </c>
      <c r="H31" s="9">
        <v>256</v>
      </c>
      <c r="I31" s="10" t="s">
        <v>1685</v>
      </c>
      <c r="J31" s="10" t="s">
        <v>1686</v>
      </c>
      <c r="K31" s="9">
        <v>5</v>
      </c>
      <c r="L31" s="10" t="s">
        <v>1687</v>
      </c>
      <c r="M31" s="9">
        <v>5</v>
      </c>
      <c r="N31" s="9" t="s">
        <v>62</v>
      </c>
      <c r="O31" s="10" t="s">
        <v>1688</v>
      </c>
      <c r="P31" s="10" t="s">
        <v>1689</v>
      </c>
      <c r="Q31" s="9">
        <v>1</v>
      </c>
      <c r="R31" s="10"/>
      <c r="S31" s="10"/>
      <c r="T31" s="9"/>
      <c r="U31" s="9"/>
    </row>
    <row r="32" spans="1:21" ht="66" x14ac:dyDescent="0.3">
      <c r="A32" s="19" t="s">
        <v>1226</v>
      </c>
      <c r="B32" s="20">
        <v>12</v>
      </c>
      <c r="C32" s="9" t="s">
        <v>238</v>
      </c>
      <c r="D32" s="9" t="s">
        <v>239</v>
      </c>
      <c r="E32" s="9" t="s">
        <v>1669</v>
      </c>
      <c r="F32" s="9" t="s">
        <v>1690</v>
      </c>
      <c r="G32" s="9" t="s">
        <v>1690</v>
      </c>
      <c r="H32" s="9">
        <v>257</v>
      </c>
      <c r="I32" s="10" t="s">
        <v>1691</v>
      </c>
      <c r="J32" s="10" t="s">
        <v>1692</v>
      </c>
      <c r="K32" s="9">
        <v>5</v>
      </c>
      <c r="L32" s="10" t="s">
        <v>1693</v>
      </c>
      <c r="M32" s="9">
        <v>4</v>
      </c>
      <c r="N32" s="9" t="s">
        <v>62</v>
      </c>
      <c r="O32" s="10" t="s">
        <v>1694</v>
      </c>
      <c r="P32" s="10" t="s">
        <v>60</v>
      </c>
      <c r="Q32" s="9">
        <v>0</v>
      </c>
      <c r="R32" s="10"/>
      <c r="S32" s="10"/>
      <c r="T32" s="9" t="s">
        <v>1695</v>
      </c>
      <c r="U32" s="9"/>
    </row>
    <row r="33" spans="1:21" ht="66" x14ac:dyDescent="0.3">
      <c r="A33" s="19" t="s">
        <v>1696</v>
      </c>
      <c r="B33" s="20">
        <v>12</v>
      </c>
      <c r="C33" s="9" t="s">
        <v>238</v>
      </c>
      <c r="D33" s="9" t="s">
        <v>239</v>
      </c>
      <c r="E33" s="9" t="s">
        <v>1669</v>
      </c>
      <c r="F33" s="9" t="s">
        <v>1697</v>
      </c>
      <c r="G33" s="9" t="s">
        <v>1697</v>
      </c>
      <c r="H33" s="9">
        <v>258</v>
      </c>
      <c r="I33" s="10" t="s">
        <v>1698</v>
      </c>
      <c r="J33" s="10" t="s">
        <v>1699</v>
      </c>
      <c r="K33" s="9">
        <v>4</v>
      </c>
      <c r="L33" s="10" t="s">
        <v>1700</v>
      </c>
      <c r="M33" s="9">
        <v>4</v>
      </c>
      <c r="N33" s="9" t="s">
        <v>62</v>
      </c>
      <c r="O33" s="10" t="s">
        <v>1701</v>
      </c>
      <c r="P33" s="10" t="s">
        <v>1702</v>
      </c>
      <c r="Q33" s="9">
        <v>1</v>
      </c>
      <c r="R33" s="10"/>
      <c r="S33" s="10"/>
      <c r="T33" s="9"/>
      <c r="U33" s="9"/>
    </row>
    <row r="34" spans="1:21" ht="52.8" x14ac:dyDescent="0.3">
      <c r="A34" s="19" t="s">
        <v>1703</v>
      </c>
      <c r="B34" s="20">
        <v>12</v>
      </c>
      <c r="C34" s="9" t="s">
        <v>238</v>
      </c>
      <c r="D34" s="9" t="s">
        <v>239</v>
      </c>
      <c r="E34" s="9" t="s">
        <v>1669</v>
      </c>
      <c r="F34" s="9" t="s">
        <v>1704</v>
      </c>
      <c r="G34" s="9" t="s">
        <v>1704</v>
      </c>
      <c r="H34" s="9">
        <v>259</v>
      </c>
      <c r="I34" s="10" t="s">
        <v>1705</v>
      </c>
      <c r="J34" s="10" t="s">
        <v>1706</v>
      </c>
      <c r="K34" s="9">
        <v>4</v>
      </c>
      <c r="L34" s="10" t="s">
        <v>1707</v>
      </c>
      <c r="M34" s="9">
        <v>4</v>
      </c>
      <c r="N34" s="9" t="s">
        <v>62</v>
      </c>
      <c r="O34" s="10" t="s">
        <v>1708</v>
      </c>
      <c r="P34" s="10" t="s">
        <v>60</v>
      </c>
      <c r="Q34" s="9">
        <v>0</v>
      </c>
      <c r="R34" s="10"/>
      <c r="S34" s="10"/>
      <c r="T34" s="9"/>
      <c r="U34" s="9"/>
    </row>
    <row r="35" spans="1:21" ht="39.6" x14ac:dyDescent="0.3">
      <c r="A35" s="19" t="s">
        <v>1709</v>
      </c>
      <c r="B35" s="20">
        <v>12</v>
      </c>
      <c r="C35" s="9" t="s">
        <v>238</v>
      </c>
      <c r="D35" s="9" t="s">
        <v>239</v>
      </c>
      <c r="E35" s="9" t="s">
        <v>1669</v>
      </c>
      <c r="F35" s="9" t="s">
        <v>1710</v>
      </c>
      <c r="G35" s="9" t="s">
        <v>1710</v>
      </c>
      <c r="H35" s="9">
        <v>260</v>
      </c>
      <c r="I35" s="10" t="s">
        <v>1711</v>
      </c>
      <c r="J35" s="10" t="s">
        <v>1712</v>
      </c>
      <c r="K35" s="9">
        <v>3</v>
      </c>
      <c r="L35" s="10" t="s">
        <v>1713</v>
      </c>
      <c r="M35" s="9">
        <v>3</v>
      </c>
      <c r="N35" s="9" t="s">
        <v>62</v>
      </c>
      <c r="O35" s="10" t="s">
        <v>607</v>
      </c>
      <c r="P35" s="10" t="s">
        <v>60</v>
      </c>
      <c r="Q35" s="9">
        <v>0</v>
      </c>
      <c r="R35" s="10"/>
      <c r="S35" s="10"/>
      <c r="T35" s="9"/>
      <c r="U35" s="9"/>
    </row>
    <row r="36" spans="1:21" ht="52.8" x14ac:dyDescent="0.3">
      <c r="A36" s="19" t="s">
        <v>1714</v>
      </c>
      <c r="B36" s="20">
        <v>12</v>
      </c>
      <c r="C36" s="9" t="s">
        <v>238</v>
      </c>
      <c r="D36" s="9" t="s">
        <v>239</v>
      </c>
      <c r="E36" s="9" t="s">
        <v>1669</v>
      </c>
      <c r="F36" s="9" t="s">
        <v>1715</v>
      </c>
      <c r="G36" s="9" t="s">
        <v>1715</v>
      </c>
      <c r="H36" s="9">
        <v>261</v>
      </c>
      <c r="I36" s="10" t="s">
        <v>1716</v>
      </c>
      <c r="J36" s="10" t="s">
        <v>1717</v>
      </c>
      <c r="K36" s="9">
        <v>4</v>
      </c>
      <c r="L36" s="10" t="s">
        <v>1718</v>
      </c>
      <c r="M36" s="9">
        <v>4</v>
      </c>
      <c r="N36" s="9" t="s">
        <v>62</v>
      </c>
      <c r="O36" s="10" t="s">
        <v>1719</v>
      </c>
      <c r="P36" s="10" t="s">
        <v>60</v>
      </c>
      <c r="Q36" s="9">
        <v>0</v>
      </c>
      <c r="R36" s="10" t="s">
        <v>1720</v>
      </c>
      <c r="S36" s="10"/>
      <c r="T36" s="9"/>
      <c r="U36" s="9"/>
    </row>
    <row r="37" spans="1:21" ht="66" x14ac:dyDescent="0.3">
      <c r="A37" s="19" t="s">
        <v>1234</v>
      </c>
      <c r="B37" s="20">
        <v>12</v>
      </c>
      <c r="C37" s="9" t="s">
        <v>238</v>
      </c>
      <c r="D37" s="9" t="s">
        <v>565</v>
      </c>
      <c r="E37" s="9" t="s">
        <v>1721</v>
      </c>
      <c r="F37" s="9" t="s">
        <v>1722</v>
      </c>
      <c r="G37" s="9" t="s">
        <v>1722</v>
      </c>
      <c r="H37" s="9">
        <v>262</v>
      </c>
      <c r="I37" s="10" t="s">
        <v>1723</v>
      </c>
      <c r="J37" s="10" t="s">
        <v>1724</v>
      </c>
      <c r="K37" s="9">
        <v>5</v>
      </c>
      <c r="L37" s="10" t="s">
        <v>1725</v>
      </c>
      <c r="M37" s="9">
        <v>4</v>
      </c>
      <c r="N37" s="9" t="s">
        <v>62</v>
      </c>
      <c r="O37" s="10" t="s">
        <v>607</v>
      </c>
      <c r="P37" s="10" t="s">
        <v>60</v>
      </c>
      <c r="Q37" s="9">
        <v>0</v>
      </c>
      <c r="R37" s="10"/>
      <c r="S37" s="10"/>
      <c r="T37" s="9" t="s">
        <v>1227</v>
      </c>
      <c r="U37" s="9"/>
    </row>
    <row r="38" spans="1:21" ht="66" x14ac:dyDescent="0.3">
      <c r="A38" s="19" t="s">
        <v>1726</v>
      </c>
      <c r="B38" s="20">
        <v>12</v>
      </c>
      <c r="C38" s="9" t="s">
        <v>238</v>
      </c>
      <c r="D38" s="9" t="s">
        <v>565</v>
      </c>
      <c r="E38" s="9" t="s">
        <v>1721</v>
      </c>
      <c r="F38" s="9" t="s">
        <v>1727</v>
      </c>
      <c r="G38" s="9" t="s">
        <v>1727</v>
      </c>
      <c r="H38" s="9">
        <v>263</v>
      </c>
      <c r="I38" s="10" t="s">
        <v>1728</v>
      </c>
      <c r="J38" s="10" t="s">
        <v>1729</v>
      </c>
      <c r="K38" s="9">
        <v>5</v>
      </c>
      <c r="L38" s="10" t="s">
        <v>1730</v>
      </c>
      <c r="M38" s="9">
        <v>4</v>
      </c>
      <c r="N38" s="9" t="s">
        <v>62</v>
      </c>
      <c r="O38" s="10" t="s">
        <v>1731</v>
      </c>
      <c r="P38" s="10" t="s">
        <v>60</v>
      </c>
      <c r="Q38" s="9">
        <v>0</v>
      </c>
      <c r="R38" s="10"/>
      <c r="S38" s="10"/>
      <c r="T38" s="9"/>
      <c r="U38" s="9"/>
    </row>
    <row r="39" spans="1:21" ht="66" x14ac:dyDescent="0.3">
      <c r="A39" s="19" t="s">
        <v>1732</v>
      </c>
      <c r="B39" s="20">
        <v>12</v>
      </c>
      <c r="C39" s="9" t="s">
        <v>238</v>
      </c>
      <c r="D39" s="9" t="s">
        <v>565</v>
      </c>
      <c r="E39" s="9" t="s">
        <v>1721</v>
      </c>
      <c r="F39" s="9" t="s">
        <v>1733</v>
      </c>
      <c r="G39" s="9" t="s">
        <v>1733</v>
      </c>
      <c r="H39" s="9">
        <v>264</v>
      </c>
      <c r="I39" s="10" t="s">
        <v>1734</v>
      </c>
      <c r="J39" s="10" t="s">
        <v>1735</v>
      </c>
      <c r="K39" s="9">
        <v>5</v>
      </c>
      <c r="L39" s="10" t="s">
        <v>1736</v>
      </c>
      <c r="M39" s="9">
        <v>3</v>
      </c>
      <c r="N39" s="9" t="s">
        <v>62</v>
      </c>
      <c r="O39" s="10" t="s">
        <v>607</v>
      </c>
      <c r="P39" s="10" t="s">
        <v>60</v>
      </c>
      <c r="Q39" s="9">
        <v>0</v>
      </c>
      <c r="R39" s="10"/>
      <c r="S39" s="10"/>
      <c r="T39" s="9"/>
      <c r="U39" s="9"/>
    </row>
    <row r="40" spans="1:21" ht="105.6" x14ac:dyDescent="0.3">
      <c r="A40" s="19" t="s">
        <v>1737</v>
      </c>
      <c r="B40" s="20">
        <v>12</v>
      </c>
      <c r="C40" s="9" t="s">
        <v>238</v>
      </c>
      <c r="D40" s="9" t="s">
        <v>565</v>
      </c>
      <c r="E40" s="9" t="s">
        <v>1721</v>
      </c>
      <c r="F40" s="9" t="s">
        <v>1738</v>
      </c>
      <c r="G40" s="9" t="s">
        <v>1738</v>
      </c>
      <c r="H40" s="9">
        <v>265</v>
      </c>
      <c r="I40" s="10" t="s">
        <v>1739</v>
      </c>
      <c r="J40" s="10" t="s">
        <v>1740</v>
      </c>
      <c r="K40" s="9">
        <v>7</v>
      </c>
      <c r="L40" s="10" t="s">
        <v>1741</v>
      </c>
      <c r="M40" s="9">
        <v>6</v>
      </c>
      <c r="N40" s="9" t="s">
        <v>62</v>
      </c>
      <c r="O40" s="10" t="s">
        <v>1742</v>
      </c>
      <c r="P40" s="10" t="s">
        <v>1743</v>
      </c>
      <c r="Q40" s="9">
        <v>3</v>
      </c>
      <c r="R40" s="10"/>
      <c r="S40" s="10"/>
      <c r="T40" s="9"/>
      <c r="U40" s="9"/>
    </row>
    <row r="41" spans="1:21" ht="79.2" x14ac:dyDescent="0.3">
      <c r="A41" s="19" t="s">
        <v>1744</v>
      </c>
      <c r="B41" s="20">
        <v>12</v>
      </c>
      <c r="C41" s="9" t="s">
        <v>238</v>
      </c>
      <c r="D41" s="9" t="s">
        <v>565</v>
      </c>
      <c r="E41" s="9" t="s">
        <v>1721</v>
      </c>
      <c r="F41" s="9" t="s">
        <v>1745</v>
      </c>
      <c r="G41" s="9" t="s">
        <v>1745</v>
      </c>
      <c r="H41" s="9">
        <v>266</v>
      </c>
      <c r="I41" s="10" t="s">
        <v>1746</v>
      </c>
      <c r="J41" s="10" t="s">
        <v>1747</v>
      </c>
      <c r="K41" s="9">
        <v>5</v>
      </c>
      <c r="L41" s="10" t="s">
        <v>1748</v>
      </c>
      <c r="M41" s="9">
        <v>5</v>
      </c>
      <c r="N41" s="9" t="s">
        <v>62</v>
      </c>
      <c r="O41" s="10" t="s">
        <v>1749</v>
      </c>
      <c r="P41" s="10" t="s">
        <v>1750</v>
      </c>
      <c r="Q41" s="9">
        <v>1</v>
      </c>
      <c r="R41" s="10"/>
      <c r="S41" s="10"/>
      <c r="T41" s="9"/>
      <c r="U41" s="9"/>
    </row>
    <row r="42" spans="1:21" ht="92.4" x14ac:dyDescent="0.3">
      <c r="A42" s="19" t="s">
        <v>1248</v>
      </c>
      <c r="B42" s="20">
        <v>12</v>
      </c>
      <c r="C42" s="9" t="s">
        <v>238</v>
      </c>
      <c r="D42" s="9" t="s">
        <v>565</v>
      </c>
      <c r="E42" s="9" t="s">
        <v>1721</v>
      </c>
      <c r="F42" s="9" t="s">
        <v>1751</v>
      </c>
      <c r="G42" s="9" t="s">
        <v>1751</v>
      </c>
      <c r="H42" s="9">
        <v>267</v>
      </c>
      <c r="I42" s="10" t="s">
        <v>1752</v>
      </c>
      <c r="J42" s="10" t="s">
        <v>1753</v>
      </c>
      <c r="K42" s="9">
        <v>7</v>
      </c>
      <c r="L42" s="10" t="s">
        <v>1754</v>
      </c>
      <c r="M42" s="9">
        <v>5</v>
      </c>
      <c r="N42" s="9" t="s">
        <v>62</v>
      </c>
      <c r="O42" s="10" t="s">
        <v>1755</v>
      </c>
      <c r="P42" s="10" t="s">
        <v>60</v>
      </c>
      <c r="Q42" s="9">
        <v>0</v>
      </c>
      <c r="R42" s="10" t="s">
        <v>1756</v>
      </c>
      <c r="S42" s="10"/>
      <c r="T42" s="9" t="s">
        <v>1757</v>
      </c>
      <c r="U42" s="9"/>
    </row>
    <row r="43" spans="1:21" ht="92.4" x14ac:dyDescent="0.3">
      <c r="A43" s="19" t="s">
        <v>1758</v>
      </c>
      <c r="B43" s="20">
        <v>12</v>
      </c>
      <c r="C43" s="9" t="s">
        <v>238</v>
      </c>
      <c r="D43" s="9" t="s">
        <v>318</v>
      </c>
      <c r="E43" s="9" t="s">
        <v>1759</v>
      </c>
      <c r="F43" s="9" t="s">
        <v>1760</v>
      </c>
      <c r="G43" s="9" t="s">
        <v>1761</v>
      </c>
      <c r="H43" s="9">
        <v>268</v>
      </c>
      <c r="I43" s="10" t="s">
        <v>1762</v>
      </c>
      <c r="J43" s="10" t="s">
        <v>60</v>
      </c>
      <c r="K43" s="9">
        <v>0</v>
      </c>
      <c r="L43" s="10" t="s">
        <v>1763</v>
      </c>
      <c r="M43" s="9">
        <v>3</v>
      </c>
      <c r="N43" s="9" t="s">
        <v>62</v>
      </c>
      <c r="O43" s="10" t="s">
        <v>1764</v>
      </c>
      <c r="P43" s="10" t="s">
        <v>1765</v>
      </c>
      <c r="Q43" s="9">
        <v>2</v>
      </c>
      <c r="R43" s="10"/>
      <c r="S43" s="10"/>
      <c r="T43" s="9"/>
      <c r="U43" s="9"/>
    </row>
    <row r="44" spans="1:21" ht="66" x14ac:dyDescent="0.3">
      <c r="A44" s="19" t="s">
        <v>1766</v>
      </c>
      <c r="B44" s="20">
        <v>12</v>
      </c>
      <c r="C44" s="9" t="s">
        <v>238</v>
      </c>
      <c r="D44" s="9" t="s">
        <v>318</v>
      </c>
      <c r="E44" s="9" t="s">
        <v>1759</v>
      </c>
      <c r="F44" s="9" t="s">
        <v>1760</v>
      </c>
      <c r="G44" s="9" t="s">
        <v>1767</v>
      </c>
      <c r="H44" s="9">
        <v>269</v>
      </c>
      <c r="I44" s="10" t="s">
        <v>1768</v>
      </c>
      <c r="J44" s="10" t="s">
        <v>1769</v>
      </c>
      <c r="K44" s="9">
        <v>2</v>
      </c>
      <c r="L44" s="10" t="s">
        <v>1770</v>
      </c>
      <c r="M44" s="9">
        <v>4</v>
      </c>
      <c r="N44" s="9" t="s">
        <v>62</v>
      </c>
      <c r="O44" s="10" t="s">
        <v>1771</v>
      </c>
      <c r="P44" s="10" t="s">
        <v>60</v>
      </c>
      <c r="Q44" s="9">
        <v>0</v>
      </c>
      <c r="R44" s="10"/>
      <c r="S44" s="10"/>
      <c r="T44" s="9"/>
      <c r="U44" s="9"/>
    </row>
    <row r="45" spans="1:21" ht="66" x14ac:dyDescent="0.3">
      <c r="A45" s="19" t="s">
        <v>1772</v>
      </c>
      <c r="B45" s="20">
        <v>12</v>
      </c>
      <c r="C45" s="9" t="s">
        <v>238</v>
      </c>
      <c r="D45" s="9" t="s">
        <v>318</v>
      </c>
      <c r="E45" s="9" t="s">
        <v>1759</v>
      </c>
      <c r="F45" s="9" t="s">
        <v>1760</v>
      </c>
      <c r="G45" s="9" t="s">
        <v>1773</v>
      </c>
      <c r="H45" s="9">
        <v>270</v>
      </c>
      <c r="I45" s="10" t="s">
        <v>1774</v>
      </c>
      <c r="J45" s="10" t="s">
        <v>1775</v>
      </c>
      <c r="K45" s="9">
        <v>4</v>
      </c>
      <c r="L45" s="10" t="s">
        <v>1776</v>
      </c>
      <c r="M45" s="9">
        <v>4</v>
      </c>
      <c r="N45" s="9" t="s">
        <v>62</v>
      </c>
      <c r="O45" s="10" t="s">
        <v>1777</v>
      </c>
      <c r="P45" s="10" t="s">
        <v>60</v>
      </c>
      <c r="Q45" s="9">
        <v>0</v>
      </c>
      <c r="R45" s="10" t="s">
        <v>1778</v>
      </c>
      <c r="S45" s="10"/>
      <c r="T45" s="9"/>
      <c r="U45" s="9"/>
    </row>
    <row r="46" spans="1:21" ht="52.8" x14ac:dyDescent="0.3">
      <c r="A46" s="19" t="s">
        <v>1779</v>
      </c>
      <c r="B46" s="20">
        <v>12</v>
      </c>
      <c r="C46" s="9" t="s">
        <v>238</v>
      </c>
      <c r="D46" s="9" t="s">
        <v>318</v>
      </c>
      <c r="E46" s="9" t="s">
        <v>1759</v>
      </c>
      <c r="F46" s="9" t="s">
        <v>1780</v>
      </c>
      <c r="G46" s="9" t="s">
        <v>1781</v>
      </c>
      <c r="H46" s="9">
        <v>271</v>
      </c>
      <c r="I46" s="10" t="s">
        <v>1782</v>
      </c>
      <c r="J46" s="10" t="s">
        <v>1783</v>
      </c>
      <c r="K46" s="9">
        <v>2</v>
      </c>
      <c r="L46" s="10" t="s">
        <v>1784</v>
      </c>
      <c r="M46" s="9">
        <v>4</v>
      </c>
      <c r="N46" s="9" t="s">
        <v>62</v>
      </c>
      <c r="O46" s="10" t="s">
        <v>607</v>
      </c>
      <c r="P46" s="10" t="s">
        <v>60</v>
      </c>
      <c r="Q46" s="9">
        <v>0</v>
      </c>
      <c r="R46" s="10"/>
      <c r="S46" s="10"/>
      <c r="T46" s="9"/>
      <c r="U46" s="9"/>
    </row>
    <row r="47" spans="1:21" ht="39.6" x14ac:dyDescent="0.3">
      <c r="A47" s="19" t="s">
        <v>1785</v>
      </c>
      <c r="B47" s="20">
        <v>12</v>
      </c>
      <c r="C47" s="9" t="s">
        <v>238</v>
      </c>
      <c r="D47" s="9" t="s">
        <v>318</v>
      </c>
      <c r="E47" s="9" t="s">
        <v>1759</v>
      </c>
      <c r="F47" s="9" t="s">
        <v>1780</v>
      </c>
      <c r="G47" s="9" t="s">
        <v>1786</v>
      </c>
      <c r="H47" s="9">
        <v>272</v>
      </c>
      <c r="I47" s="10" t="s">
        <v>1787</v>
      </c>
      <c r="J47" s="10" t="s">
        <v>60</v>
      </c>
      <c r="K47" s="9">
        <v>0</v>
      </c>
      <c r="L47" s="10" t="s">
        <v>60</v>
      </c>
      <c r="M47" s="9">
        <v>0</v>
      </c>
      <c r="N47" s="9" t="s">
        <v>62</v>
      </c>
      <c r="O47" s="10" t="s">
        <v>607</v>
      </c>
      <c r="P47" s="10" t="s">
        <v>60</v>
      </c>
      <c r="Q47" s="9">
        <v>0</v>
      </c>
      <c r="R47" s="10"/>
      <c r="S47" s="10"/>
      <c r="T47" s="9"/>
      <c r="U47" s="9"/>
    </row>
    <row r="48" spans="1:21" ht="118.8" x14ac:dyDescent="0.3">
      <c r="A48" s="19" t="s">
        <v>1788</v>
      </c>
      <c r="B48" s="20">
        <v>12</v>
      </c>
      <c r="C48" s="9" t="s">
        <v>238</v>
      </c>
      <c r="D48" s="9" t="s">
        <v>318</v>
      </c>
      <c r="E48" s="9" t="s">
        <v>1759</v>
      </c>
      <c r="F48" s="9" t="s">
        <v>1780</v>
      </c>
      <c r="G48" s="9" t="s">
        <v>1789</v>
      </c>
      <c r="H48" s="9">
        <v>273</v>
      </c>
      <c r="I48" s="10" t="s">
        <v>1790</v>
      </c>
      <c r="J48" s="10" t="s">
        <v>1791</v>
      </c>
      <c r="K48" s="9">
        <v>9</v>
      </c>
      <c r="L48" s="10" t="s">
        <v>1792</v>
      </c>
      <c r="M48" s="9">
        <v>7</v>
      </c>
      <c r="N48" s="9" t="s">
        <v>62</v>
      </c>
      <c r="O48" s="10" t="s">
        <v>1793</v>
      </c>
      <c r="P48" s="10" t="s">
        <v>1794</v>
      </c>
      <c r="Q48" s="9">
        <v>3</v>
      </c>
      <c r="R48" s="10"/>
      <c r="S48" s="10"/>
      <c r="T48" s="9"/>
      <c r="U48" s="9"/>
    </row>
    <row r="49" spans="1:21" ht="39.6" x14ac:dyDescent="0.3">
      <c r="A49" s="19" t="s">
        <v>1795</v>
      </c>
      <c r="B49" s="20">
        <v>12</v>
      </c>
      <c r="C49" s="9" t="s">
        <v>238</v>
      </c>
      <c r="D49" s="9" t="s">
        <v>318</v>
      </c>
      <c r="E49" s="9" t="s">
        <v>1759</v>
      </c>
      <c r="F49" s="9" t="s">
        <v>1780</v>
      </c>
      <c r="G49" s="9" t="s">
        <v>1796</v>
      </c>
      <c r="H49" s="9">
        <v>274</v>
      </c>
      <c r="I49" s="10" t="s">
        <v>1797</v>
      </c>
      <c r="J49" s="10" t="s">
        <v>1798</v>
      </c>
      <c r="K49" s="9">
        <v>3</v>
      </c>
      <c r="L49" s="10" t="s">
        <v>1799</v>
      </c>
      <c r="M49" s="9">
        <v>3</v>
      </c>
      <c r="N49" s="9" t="s">
        <v>126</v>
      </c>
      <c r="O49" s="10" t="s">
        <v>538</v>
      </c>
      <c r="P49" s="10" t="s">
        <v>60</v>
      </c>
      <c r="Q49" s="9">
        <v>0</v>
      </c>
      <c r="R49" s="10"/>
      <c r="S49" s="10"/>
      <c r="T49" s="9"/>
      <c r="U49" s="9"/>
    </row>
    <row r="50" spans="1:21" ht="66" x14ac:dyDescent="0.3">
      <c r="A50" s="19" t="s">
        <v>1800</v>
      </c>
      <c r="B50" s="20">
        <v>12</v>
      </c>
      <c r="C50" s="9" t="s">
        <v>238</v>
      </c>
      <c r="D50" s="9" t="s">
        <v>318</v>
      </c>
      <c r="E50" s="9" t="s">
        <v>1759</v>
      </c>
      <c r="F50" s="9" t="s">
        <v>1801</v>
      </c>
      <c r="G50" s="9" t="s">
        <v>1802</v>
      </c>
      <c r="H50" s="9">
        <v>275</v>
      </c>
      <c r="I50" s="10" t="s">
        <v>1803</v>
      </c>
      <c r="J50" s="10" t="s">
        <v>1804</v>
      </c>
      <c r="K50" s="9">
        <v>4</v>
      </c>
      <c r="L50" s="10" t="s">
        <v>1805</v>
      </c>
      <c r="M50" s="9">
        <v>3</v>
      </c>
      <c r="N50" s="9" t="s">
        <v>62</v>
      </c>
      <c r="O50" s="10" t="s">
        <v>607</v>
      </c>
      <c r="P50" s="10" t="s">
        <v>60</v>
      </c>
      <c r="Q50" s="9">
        <v>0</v>
      </c>
      <c r="R50" s="10"/>
      <c r="S50" s="10"/>
      <c r="T50" s="9"/>
      <c r="U50" s="9"/>
    </row>
    <row r="51" spans="1:21" ht="52.8" x14ac:dyDescent="0.3">
      <c r="A51" s="19" t="s">
        <v>1806</v>
      </c>
      <c r="B51" s="20">
        <v>12</v>
      </c>
      <c r="C51" s="9" t="s">
        <v>238</v>
      </c>
      <c r="D51" s="9" t="s">
        <v>318</v>
      </c>
      <c r="E51" s="9" t="s">
        <v>1759</v>
      </c>
      <c r="F51" s="9" t="s">
        <v>1801</v>
      </c>
      <c r="G51" s="9" t="s">
        <v>1807</v>
      </c>
      <c r="H51" s="9">
        <v>276</v>
      </c>
      <c r="I51" s="10" t="s">
        <v>1808</v>
      </c>
      <c r="J51" s="10" t="s">
        <v>1809</v>
      </c>
      <c r="K51" s="9">
        <v>4</v>
      </c>
      <c r="L51" s="10" t="s">
        <v>1810</v>
      </c>
      <c r="M51" s="9">
        <v>3</v>
      </c>
      <c r="N51" s="9" t="s">
        <v>62</v>
      </c>
      <c r="O51" s="10" t="s">
        <v>1811</v>
      </c>
      <c r="P51" s="10" t="s">
        <v>1812</v>
      </c>
      <c r="Q51" s="9">
        <v>1</v>
      </c>
      <c r="R51" s="10"/>
      <c r="S51" s="10"/>
      <c r="T51" s="9"/>
      <c r="U51" s="9"/>
    </row>
    <row r="52" spans="1:21" ht="132" x14ac:dyDescent="0.3">
      <c r="A52" s="19" t="s">
        <v>1813</v>
      </c>
      <c r="B52" s="20">
        <v>12</v>
      </c>
      <c r="C52" s="9" t="s">
        <v>238</v>
      </c>
      <c r="D52" s="9" t="s">
        <v>318</v>
      </c>
      <c r="E52" s="9" t="s">
        <v>1759</v>
      </c>
      <c r="F52" s="9" t="s">
        <v>1801</v>
      </c>
      <c r="G52" s="9" t="s">
        <v>1814</v>
      </c>
      <c r="H52" s="9">
        <v>277</v>
      </c>
      <c r="I52" s="10" t="s">
        <v>1815</v>
      </c>
      <c r="J52" s="10" t="s">
        <v>1816</v>
      </c>
      <c r="K52" s="9">
        <v>8</v>
      </c>
      <c r="L52" s="10" t="s">
        <v>1817</v>
      </c>
      <c r="M52" s="9">
        <v>6</v>
      </c>
      <c r="N52" s="9" t="s">
        <v>62</v>
      </c>
      <c r="O52" s="10" t="s">
        <v>1818</v>
      </c>
      <c r="P52" s="10" t="s">
        <v>1819</v>
      </c>
      <c r="Q52" s="9">
        <v>3</v>
      </c>
      <c r="R52" s="10" t="s">
        <v>1820</v>
      </c>
      <c r="S52" s="10"/>
      <c r="T52" s="9"/>
      <c r="U52" s="9"/>
    </row>
  </sheetData>
  <autoFilter ref="A1:U52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09"/>
  <sheetViews>
    <sheetView tabSelected="1" zoomScaleNormal="100" workbookViewId="0">
      <pane xSplit="2" ySplit="1" topLeftCell="C54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7" customWidth="1"/>
    <col min="3" max="3" width="30" customWidth="1"/>
    <col min="4" max="4" width="38" customWidth="1"/>
    <col min="5" max="6" width="62" customWidth="1"/>
    <col min="7" max="7" width="40" customWidth="1"/>
  </cols>
  <sheetData>
    <row r="1" spans="1:7" ht="30" customHeight="1" x14ac:dyDescent="0.3">
      <c r="A1" s="6" t="s">
        <v>32</v>
      </c>
      <c r="B1" s="6" t="s">
        <v>33</v>
      </c>
      <c r="C1" s="6" t="s">
        <v>36</v>
      </c>
      <c r="D1" s="6" t="s">
        <v>38</v>
      </c>
      <c r="E1" s="6" t="s">
        <v>1821</v>
      </c>
      <c r="F1" s="6" t="s">
        <v>1822</v>
      </c>
      <c r="G1" s="6" t="s">
        <v>1823</v>
      </c>
    </row>
    <row r="2" spans="1:7" ht="26.4" x14ac:dyDescent="0.3">
      <c r="A2" s="21" t="s">
        <v>65</v>
      </c>
      <c r="B2" s="22">
        <v>7</v>
      </c>
      <c r="C2" s="10" t="s">
        <v>56</v>
      </c>
      <c r="D2" s="10" t="s">
        <v>66</v>
      </c>
      <c r="E2" s="10" t="s">
        <v>1824</v>
      </c>
      <c r="F2" s="10" t="s">
        <v>1825</v>
      </c>
      <c r="G2" s="10"/>
    </row>
    <row r="3" spans="1:7" x14ac:dyDescent="0.3">
      <c r="A3" s="21" t="s">
        <v>89</v>
      </c>
      <c r="B3" s="22">
        <v>7</v>
      </c>
      <c r="C3" s="10" t="s">
        <v>56</v>
      </c>
      <c r="D3" s="10" t="s">
        <v>90</v>
      </c>
      <c r="E3" s="10" t="s">
        <v>1826</v>
      </c>
      <c r="F3" s="10" t="s">
        <v>1827</v>
      </c>
      <c r="G3" s="10"/>
    </row>
    <row r="4" spans="1:7" x14ac:dyDescent="0.3">
      <c r="A4" s="21" t="s">
        <v>89</v>
      </c>
      <c r="B4" s="22">
        <v>7</v>
      </c>
      <c r="C4" s="10" t="s">
        <v>56</v>
      </c>
      <c r="D4" s="10" t="s">
        <v>90</v>
      </c>
      <c r="E4" s="10" t="s">
        <v>1828</v>
      </c>
      <c r="F4" s="10"/>
      <c r="G4" s="10"/>
    </row>
    <row r="5" spans="1:7" x14ac:dyDescent="0.3">
      <c r="A5" s="21" t="s">
        <v>89</v>
      </c>
      <c r="B5" s="22">
        <v>7</v>
      </c>
      <c r="C5" s="10" t="s">
        <v>56</v>
      </c>
      <c r="D5" s="10" t="s">
        <v>90</v>
      </c>
      <c r="E5" s="10" t="s">
        <v>1829</v>
      </c>
      <c r="F5" s="10" t="s">
        <v>1830</v>
      </c>
      <c r="G5" s="10"/>
    </row>
    <row r="6" spans="1:7" x14ac:dyDescent="0.3">
      <c r="A6" s="21" t="s">
        <v>89</v>
      </c>
      <c r="B6" s="22">
        <v>7</v>
      </c>
      <c r="C6" s="10" t="s">
        <v>56</v>
      </c>
      <c r="D6" s="10" t="s">
        <v>90</v>
      </c>
      <c r="E6" s="10" t="s">
        <v>1831</v>
      </c>
      <c r="F6" s="10"/>
      <c r="G6" s="10"/>
    </row>
    <row r="7" spans="1:7" x14ac:dyDescent="0.3">
      <c r="A7" s="21" t="s">
        <v>89</v>
      </c>
      <c r="B7" s="22">
        <v>7</v>
      </c>
      <c r="C7" s="10" t="s">
        <v>56</v>
      </c>
      <c r="D7" s="10" t="s">
        <v>90</v>
      </c>
      <c r="E7" s="10" t="s">
        <v>1832</v>
      </c>
      <c r="F7" s="10" t="s">
        <v>1833</v>
      </c>
      <c r="G7" s="10"/>
    </row>
    <row r="8" spans="1:7" ht="26.4" x14ac:dyDescent="0.3">
      <c r="A8" s="21" t="s">
        <v>105</v>
      </c>
      <c r="B8" s="22">
        <v>7</v>
      </c>
      <c r="C8" s="10" t="s">
        <v>56</v>
      </c>
      <c r="D8" s="10" t="s">
        <v>107</v>
      </c>
      <c r="E8" s="10" t="s">
        <v>1834</v>
      </c>
      <c r="F8" s="10" t="s">
        <v>1835</v>
      </c>
      <c r="G8" s="10"/>
    </row>
    <row r="9" spans="1:7" x14ac:dyDescent="0.3">
      <c r="A9" s="21" t="s">
        <v>105</v>
      </c>
      <c r="B9" s="22">
        <v>7</v>
      </c>
      <c r="C9" s="10" t="s">
        <v>56</v>
      </c>
      <c r="D9" s="10" t="s">
        <v>107</v>
      </c>
      <c r="E9" s="10" t="s">
        <v>1836</v>
      </c>
      <c r="F9" s="10"/>
      <c r="G9" s="10"/>
    </row>
    <row r="10" spans="1:7" x14ac:dyDescent="0.3">
      <c r="A10" s="21" t="s">
        <v>105</v>
      </c>
      <c r="B10" s="22">
        <v>7</v>
      </c>
      <c r="C10" s="10" t="s">
        <v>56</v>
      </c>
      <c r="D10" s="10" t="s">
        <v>107</v>
      </c>
      <c r="E10" s="10" t="s">
        <v>1837</v>
      </c>
      <c r="F10" s="10"/>
      <c r="G10" s="10"/>
    </row>
    <row r="11" spans="1:7" x14ac:dyDescent="0.3">
      <c r="A11" s="21" t="s">
        <v>105</v>
      </c>
      <c r="B11" s="22">
        <v>7</v>
      </c>
      <c r="C11" s="10" t="s">
        <v>56</v>
      </c>
      <c r="D11" s="10" t="s">
        <v>107</v>
      </c>
      <c r="E11" s="10" t="s">
        <v>1838</v>
      </c>
      <c r="F11" s="10" t="s">
        <v>1839</v>
      </c>
      <c r="G11" s="10"/>
    </row>
    <row r="12" spans="1:7" ht="26.4" x14ac:dyDescent="0.3">
      <c r="A12" s="21" t="s">
        <v>115</v>
      </c>
      <c r="B12" s="22">
        <v>7</v>
      </c>
      <c r="C12" s="10" t="s">
        <v>56</v>
      </c>
      <c r="D12" s="10" t="s">
        <v>116</v>
      </c>
      <c r="E12" s="10" t="s">
        <v>1840</v>
      </c>
      <c r="F12" s="10" t="s">
        <v>1841</v>
      </c>
      <c r="G12" s="10"/>
    </row>
    <row r="13" spans="1:7" x14ac:dyDescent="0.3">
      <c r="A13" s="21" t="s">
        <v>115</v>
      </c>
      <c r="B13" s="22">
        <v>7</v>
      </c>
      <c r="C13" s="10" t="s">
        <v>56</v>
      </c>
      <c r="D13" s="10" t="s">
        <v>116</v>
      </c>
      <c r="E13" s="10" t="s">
        <v>1842</v>
      </c>
      <c r="F13" s="10"/>
      <c r="G13" s="10"/>
    </row>
    <row r="14" spans="1:7" ht="26.4" x14ac:dyDescent="0.3">
      <c r="A14" s="21" t="s">
        <v>129</v>
      </c>
      <c r="B14" s="22">
        <v>7</v>
      </c>
      <c r="C14" s="10" t="s">
        <v>56</v>
      </c>
      <c r="D14" s="10" t="s">
        <v>131</v>
      </c>
      <c r="E14" s="10" t="s">
        <v>1843</v>
      </c>
      <c r="F14" s="10" t="s">
        <v>1844</v>
      </c>
      <c r="G14" s="10"/>
    </row>
    <row r="15" spans="1:7" x14ac:dyDescent="0.3">
      <c r="A15" s="21" t="s">
        <v>129</v>
      </c>
      <c r="B15" s="22">
        <v>7</v>
      </c>
      <c r="C15" s="10" t="s">
        <v>56</v>
      </c>
      <c r="D15" s="10" t="s">
        <v>131</v>
      </c>
      <c r="E15" s="10" t="s">
        <v>1845</v>
      </c>
      <c r="F15" s="10" t="s">
        <v>1846</v>
      </c>
      <c r="G15" s="10"/>
    </row>
    <row r="16" spans="1:7" x14ac:dyDescent="0.3">
      <c r="A16" s="21" t="s">
        <v>174</v>
      </c>
      <c r="B16" s="22">
        <v>7</v>
      </c>
      <c r="C16" s="10" t="s">
        <v>176</v>
      </c>
      <c r="D16" s="10" t="s">
        <v>178</v>
      </c>
      <c r="E16" s="10" t="s">
        <v>1847</v>
      </c>
      <c r="F16" s="10" t="s">
        <v>1848</v>
      </c>
      <c r="G16" s="10"/>
    </row>
    <row r="17" spans="1:7" x14ac:dyDescent="0.3">
      <c r="A17" s="21" t="s">
        <v>210</v>
      </c>
      <c r="B17" s="22">
        <v>7</v>
      </c>
      <c r="C17" s="10" t="s">
        <v>176</v>
      </c>
      <c r="D17" s="10" t="s">
        <v>212</v>
      </c>
      <c r="E17" s="10" t="s">
        <v>1849</v>
      </c>
      <c r="F17" s="10" t="s">
        <v>1850</v>
      </c>
      <c r="G17" s="10"/>
    </row>
    <row r="18" spans="1:7" x14ac:dyDescent="0.3">
      <c r="A18" s="21" t="s">
        <v>210</v>
      </c>
      <c r="B18" s="22">
        <v>7</v>
      </c>
      <c r="C18" s="10" t="s">
        <v>176</v>
      </c>
      <c r="D18" s="10" t="s">
        <v>212</v>
      </c>
      <c r="E18" s="10" t="s">
        <v>1851</v>
      </c>
      <c r="F18" s="10"/>
      <c r="G18" s="10"/>
    </row>
    <row r="19" spans="1:7" x14ac:dyDescent="0.3">
      <c r="A19" s="21" t="s">
        <v>210</v>
      </c>
      <c r="B19" s="22">
        <v>7</v>
      </c>
      <c r="C19" s="10" t="s">
        <v>176</v>
      </c>
      <c r="D19" s="10" t="s">
        <v>212</v>
      </c>
      <c r="E19" s="10" t="s">
        <v>1852</v>
      </c>
      <c r="F19" s="10"/>
      <c r="G19" s="10"/>
    </row>
    <row r="20" spans="1:7" x14ac:dyDescent="0.3">
      <c r="A20" s="21" t="s">
        <v>210</v>
      </c>
      <c r="B20" s="22">
        <v>7</v>
      </c>
      <c r="C20" s="10" t="s">
        <v>176</v>
      </c>
      <c r="D20" s="10" t="s">
        <v>212</v>
      </c>
      <c r="E20" s="10" t="s">
        <v>1847</v>
      </c>
      <c r="F20" s="10" t="s">
        <v>1853</v>
      </c>
      <c r="G20" s="10"/>
    </row>
    <row r="21" spans="1:7" x14ac:dyDescent="0.3">
      <c r="A21" s="21" t="s">
        <v>230</v>
      </c>
      <c r="B21" s="22">
        <v>7</v>
      </c>
      <c r="C21" s="10" t="s">
        <v>176</v>
      </c>
      <c r="D21" s="10" t="s">
        <v>231</v>
      </c>
      <c r="E21" s="10" t="s">
        <v>1854</v>
      </c>
      <c r="F21" s="10" t="s">
        <v>1855</v>
      </c>
      <c r="G21" s="10"/>
    </row>
    <row r="22" spans="1:7" x14ac:dyDescent="0.3">
      <c r="A22" s="21" t="s">
        <v>230</v>
      </c>
      <c r="B22" s="22">
        <v>7</v>
      </c>
      <c r="C22" s="10" t="s">
        <v>176</v>
      </c>
      <c r="D22" s="10" t="s">
        <v>231</v>
      </c>
      <c r="E22" s="10" t="s">
        <v>1856</v>
      </c>
      <c r="F22" s="10"/>
      <c r="G22" s="10"/>
    </row>
    <row r="23" spans="1:7" x14ac:dyDescent="0.3">
      <c r="A23" s="21" t="s">
        <v>237</v>
      </c>
      <c r="B23" s="22">
        <v>7</v>
      </c>
      <c r="C23" s="10" t="s">
        <v>176</v>
      </c>
      <c r="D23" s="10" t="s">
        <v>241</v>
      </c>
      <c r="E23" s="10" t="s">
        <v>1857</v>
      </c>
      <c r="F23" s="10" t="s">
        <v>1858</v>
      </c>
      <c r="G23" s="10"/>
    </row>
    <row r="24" spans="1:7" x14ac:dyDescent="0.3">
      <c r="A24" s="21" t="s">
        <v>237</v>
      </c>
      <c r="B24" s="22">
        <v>7</v>
      </c>
      <c r="C24" s="10" t="s">
        <v>176</v>
      </c>
      <c r="D24" s="10" t="s">
        <v>241</v>
      </c>
      <c r="E24" s="10" t="s">
        <v>1859</v>
      </c>
      <c r="F24" s="10"/>
      <c r="G24" s="10"/>
    </row>
    <row r="25" spans="1:7" x14ac:dyDescent="0.3">
      <c r="A25" s="21" t="s">
        <v>237</v>
      </c>
      <c r="B25" s="22">
        <v>7</v>
      </c>
      <c r="C25" s="10" t="s">
        <v>176</v>
      </c>
      <c r="D25" s="10" t="s">
        <v>241</v>
      </c>
      <c r="E25" s="10" t="s">
        <v>1860</v>
      </c>
      <c r="F25" s="10" t="s">
        <v>1861</v>
      </c>
      <c r="G25" s="10"/>
    </row>
    <row r="26" spans="1:7" x14ac:dyDescent="0.3">
      <c r="A26" s="21" t="s">
        <v>259</v>
      </c>
      <c r="B26" s="22">
        <v>7</v>
      </c>
      <c r="C26" s="10" t="s">
        <v>176</v>
      </c>
      <c r="D26" s="10" t="s">
        <v>260</v>
      </c>
      <c r="E26" s="10" t="s">
        <v>1862</v>
      </c>
      <c r="F26" s="10" t="s">
        <v>1863</v>
      </c>
      <c r="G26" s="10"/>
    </row>
    <row r="27" spans="1:7" x14ac:dyDescent="0.3">
      <c r="A27" s="21" t="s">
        <v>259</v>
      </c>
      <c r="B27" s="22">
        <v>7</v>
      </c>
      <c r="C27" s="10" t="s">
        <v>176</v>
      </c>
      <c r="D27" s="10" t="s">
        <v>260</v>
      </c>
      <c r="E27" s="10" t="s">
        <v>1864</v>
      </c>
      <c r="F27" s="10" t="s">
        <v>1865</v>
      </c>
      <c r="G27" s="10"/>
    </row>
    <row r="28" spans="1:7" x14ac:dyDescent="0.3">
      <c r="A28" s="21" t="s">
        <v>259</v>
      </c>
      <c r="B28" s="22">
        <v>7</v>
      </c>
      <c r="C28" s="10" t="s">
        <v>176</v>
      </c>
      <c r="D28" s="10" t="s">
        <v>260</v>
      </c>
      <c r="E28" s="10" t="s">
        <v>1866</v>
      </c>
      <c r="F28" s="10"/>
      <c r="G28" s="10"/>
    </row>
    <row r="29" spans="1:7" x14ac:dyDescent="0.3">
      <c r="A29" s="21" t="s">
        <v>266</v>
      </c>
      <c r="B29" s="22">
        <v>7</v>
      </c>
      <c r="C29" s="10" t="s">
        <v>176</v>
      </c>
      <c r="D29" s="10" t="s">
        <v>267</v>
      </c>
      <c r="E29" s="10" t="s">
        <v>1867</v>
      </c>
      <c r="F29" s="10" t="s">
        <v>1863</v>
      </c>
      <c r="G29" s="10"/>
    </row>
    <row r="30" spans="1:7" x14ac:dyDescent="0.3">
      <c r="A30" s="21" t="s">
        <v>266</v>
      </c>
      <c r="B30" s="22">
        <v>7</v>
      </c>
      <c r="C30" s="10" t="s">
        <v>176</v>
      </c>
      <c r="D30" s="10" t="s">
        <v>267</v>
      </c>
      <c r="E30" s="10" t="s">
        <v>1868</v>
      </c>
      <c r="F30" s="10"/>
      <c r="G30" s="10"/>
    </row>
    <row r="31" spans="1:7" x14ac:dyDescent="0.3">
      <c r="A31" s="21" t="s">
        <v>273</v>
      </c>
      <c r="B31" s="22">
        <v>7</v>
      </c>
      <c r="C31" s="10" t="s">
        <v>176</v>
      </c>
      <c r="D31" s="10" t="s">
        <v>274</v>
      </c>
      <c r="E31" s="10" t="s">
        <v>1869</v>
      </c>
      <c r="F31" s="10" t="s">
        <v>1863</v>
      </c>
      <c r="G31" s="10"/>
    </row>
    <row r="32" spans="1:7" x14ac:dyDescent="0.3">
      <c r="A32" s="21" t="s">
        <v>273</v>
      </c>
      <c r="B32" s="22">
        <v>7</v>
      </c>
      <c r="C32" s="10" t="s">
        <v>176</v>
      </c>
      <c r="D32" s="10" t="s">
        <v>274</v>
      </c>
      <c r="E32" s="10" t="s">
        <v>1870</v>
      </c>
      <c r="F32" s="10"/>
      <c r="G32" s="10"/>
    </row>
    <row r="33" spans="1:7" x14ac:dyDescent="0.3">
      <c r="A33" s="21" t="s">
        <v>280</v>
      </c>
      <c r="B33" s="22">
        <v>7</v>
      </c>
      <c r="C33" s="10" t="s">
        <v>176</v>
      </c>
      <c r="D33" s="10" t="s">
        <v>282</v>
      </c>
      <c r="E33" s="10" t="s">
        <v>1871</v>
      </c>
      <c r="F33" s="10" t="s">
        <v>1872</v>
      </c>
      <c r="G33" s="10"/>
    </row>
    <row r="34" spans="1:7" x14ac:dyDescent="0.3">
      <c r="A34" s="21" t="s">
        <v>287</v>
      </c>
      <c r="B34" s="22">
        <v>7</v>
      </c>
      <c r="C34" s="10" t="s">
        <v>176</v>
      </c>
      <c r="D34" s="10" t="s">
        <v>288</v>
      </c>
      <c r="E34" s="10" t="s">
        <v>1873</v>
      </c>
      <c r="F34" s="10" t="s">
        <v>1874</v>
      </c>
      <c r="G34" s="10"/>
    </row>
    <row r="35" spans="1:7" x14ac:dyDescent="0.3">
      <c r="A35" s="21" t="s">
        <v>294</v>
      </c>
      <c r="B35" s="22">
        <v>7</v>
      </c>
      <c r="C35" s="10" t="s">
        <v>176</v>
      </c>
      <c r="D35" s="10" t="s">
        <v>295</v>
      </c>
      <c r="E35" s="10" t="s">
        <v>1875</v>
      </c>
      <c r="F35" s="10" t="s">
        <v>1876</v>
      </c>
      <c r="G35" s="10"/>
    </row>
    <row r="36" spans="1:7" x14ac:dyDescent="0.3">
      <c r="A36" s="21" t="s">
        <v>294</v>
      </c>
      <c r="B36" s="22">
        <v>7</v>
      </c>
      <c r="C36" s="10" t="s">
        <v>176</v>
      </c>
      <c r="D36" s="10" t="s">
        <v>295</v>
      </c>
      <c r="E36" s="10" t="s">
        <v>1877</v>
      </c>
      <c r="F36" s="10"/>
      <c r="G36" s="10"/>
    </row>
    <row r="37" spans="1:7" x14ac:dyDescent="0.3">
      <c r="A37" s="21" t="s">
        <v>294</v>
      </c>
      <c r="B37" s="22">
        <v>7</v>
      </c>
      <c r="C37" s="10" t="s">
        <v>176</v>
      </c>
      <c r="D37" s="10" t="s">
        <v>295</v>
      </c>
      <c r="E37" s="10" t="s">
        <v>1878</v>
      </c>
      <c r="F37" s="10" t="s">
        <v>1879</v>
      </c>
      <c r="G37" s="10"/>
    </row>
    <row r="38" spans="1:7" x14ac:dyDescent="0.3">
      <c r="A38" s="21" t="s">
        <v>302</v>
      </c>
      <c r="B38" s="22">
        <v>7</v>
      </c>
      <c r="C38" s="10" t="s">
        <v>176</v>
      </c>
      <c r="D38" s="10" t="s">
        <v>303</v>
      </c>
      <c r="E38" s="10" t="s">
        <v>1880</v>
      </c>
      <c r="F38" s="10" t="s">
        <v>1881</v>
      </c>
      <c r="G38" s="10"/>
    </row>
    <row r="39" spans="1:7" x14ac:dyDescent="0.3">
      <c r="A39" s="21" t="s">
        <v>302</v>
      </c>
      <c r="B39" s="22">
        <v>7</v>
      </c>
      <c r="C39" s="10" t="s">
        <v>176</v>
      </c>
      <c r="D39" s="10" t="s">
        <v>303</v>
      </c>
      <c r="E39" s="10" t="s">
        <v>1882</v>
      </c>
      <c r="F39" s="10" t="s">
        <v>1883</v>
      </c>
      <c r="G39" s="10"/>
    </row>
    <row r="40" spans="1:7" x14ac:dyDescent="0.3">
      <c r="A40" s="21" t="s">
        <v>302</v>
      </c>
      <c r="B40" s="22">
        <v>7</v>
      </c>
      <c r="C40" s="10" t="s">
        <v>176</v>
      </c>
      <c r="D40" s="10" t="s">
        <v>303</v>
      </c>
      <c r="E40" s="10" t="s">
        <v>1884</v>
      </c>
      <c r="F40" s="10" t="s">
        <v>1885</v>
      </c>
      <c r="G40" s="10"/>
    </row>
    <row r="41" spans="1:7" x14ac:dyDescent="0.3">
      <c r="A41" s="21" t="s">
        <v>309</v>
      </c>
      <c r="B41" s="22">
        <v>7</v>
      </c>
      <c r="C41" s="10" t="s">
        <v>176</v>
      </c>
      <c r="D41" s="10" t="s">
        <v>310</v>
      </c>
      <c r="E41" s="10" t="s">
        <v>1886</v>
      </c>
      <c r="F41" s="10" t="s">
        <v>1881</v>
      </c>
      <c r="G41" s="10"/>
    </row>
    <row r="42" spans="1:7" x14ac:dyDescent="0.3">
      <c r="A42" s="21" t="s">
        <v>309</v>
      </c>
      <c r="B42" s="22">
        <v>7</v>
      </c>
      <c r="C42" s="10" t="s">
        <v>176</v>
      </c>
      <c r="D42" s="10" t="s">
        <v>310</v>
      </c>
      <c r="E42" s="10" t="s">
        <v>1887</v>
      </c>
      <c r="F42" s="10" t="s">
        <v>1888</v>
      </c>
      <c r="G42" s="10"/>
    </row>
    <row r="43" spans="1:7" x14ac:dyDescent="0.3">
      <c r="A43" s="21" t="s">
        <v>309</v>
      </c>
      <c r="B43" s="22">
        <v>7</v>
      </c>
      <c r="C43" s="10" t="s">
        <v>176</v>
      </c>
      <c r="D43" s="10" t="s">
        <v>310</v>
      </c>
      <c r="E43" s="10" t="s">
        <v>1889</v>
      </c>
      <c r="F43" s="10"/>
      <c r="G43" s="10"/>
    </row>
    <row r="44" spans="1:7" x14ac:dyDescent="0.3">
      <c r="A44" s="21" t="s">
        <v>309</v>
      </c>
      <c r="B44" s="22">
        <v>7</v>
      </c>
      <c r="C44" s="10" t="s">
        <v>176</v>
      </c>
      <c r="D44" s="10" t="s">
        <v>310</v>
      </c>
      <c r="E44" s="10" t="s">
        <v>1890</v>
      </c>
      <c r="F44" s="10" t="s">
        <v>1891</v>
      </c>
      <c r="G44" s="10"/>
    </row>
    <row r="45" spans="1:7" x14ac:dyDescent="0.3">
      <c r="A45" s="21" t="s">
        <v>317</v>
      </c>
      <c r="B45" s="22">
        <v>7</v>
      </c>
      <c r="C45" s="10" t="s">
        <v>319</v>
      </c>
      <c r="D45" s="10" t="s">
        <v>321</v>
      </c>
      <c r="E45" s="10" t="s">
        <v>1892</v>
      </c>
      <c r="F45" s="10" t="s">
        <v>1893</v>
      </c>
      <c r="G45" s="10"/>
    </row>
    <row r="46" spans="1:7" x14ac:dyDescent="0.3">
      <c r="A46" s="21" t="s">
        <v>317</v>
      </c>
      <c r="B46" s="22">
        <v>7</v>
      </c>
      <c r="C46" s="10" t="s">
        <v>319</v>
      </c>
      <c r="D46" s="10" t="s">
        <v>321</v>
      </c>
      <c r="E46" s="10" t="s">
        <v>1894</v>
      </c>
      <c r="F46" s="10"/>
      <c r="G46" s="10"/>
    </row>
    <row r="47" spans="1:7" x14ac:dyDescent="0.3">
      <c r="A47" s="21" t="s">
        <v>327</v>
      </c>
      <c r="B47" s="22">
        <v>7</v>
      </c>
      <c r="C47" s="10" t="s">
        <v>319</v>
      </c>
      <c r="D47" s="10" t="s">
        <v>328</v>
      </c>
      <c r="E47" s="10" t="s">
        <v>1895</v>
      </c>
      <c r="F47" s="10" t="s">
        <v>1896</v>
      </c>
      <c r="G47" s="10"/>
    </row>
    <row r="48" spans="1:7" x14ac:dyDescent="0.3">
      <c r="A48" s="21" t="s">
        <v>327</v>
      </c>
      <c r="B48" s="22">
        <v>7</v>
      </c>
      <c r="C48" s="10" t="s">
        <v>319</v>
      </c>
      <c r="D48" s="10" t="s">
        <v>328</v>
      </c>
      <c r="E48" s="10" t="s">
        <v>1897</v>
      </c>
      <c r="F48" s="10"/>
      <c r="G48" s="10"/>
    </row>
    <row r="49" spans="1:7" x14ac:dyDescent="0.3">
      <c r="A49" s="21" t="s">
        <v>327</v>
      </c>
      <c r="B49" s="22">
        <v>7</v>
      </c>
      <c r="C49" s="10" t="s">
        <v>319</v>
      </c>
      <c r="D49" s="10" t="s">
        <v>328</v>
      </c>
      <c r="E49" s="10" t="s">
        <v>1898</v>
      </c>
      <c r="F49" s="10"/>
      <c r="G49" s="10"/>
    </row>
    <row r="50" spans="1:7" x14ac:dyDescent="0.3">
      <c r="A50" s="21" t="s">
        <v>327</v>
      </c>
      <c r="B50" s="22">
        <v>7</v>
      </c>
      <c r="C50" s="10" t="s">
        <v>319</v>
      </c>
      <c r="D50" s="10" t="s">
        <v>328</v>
      </c>
      <c r="E50" s="10" t="s">
        <v>1899</v>
      </c>
      <c r="F50" s="10" t="s">
        <v>1900</v>
      </c>
      <c r="G50" s="10"/>
    </row>
    <row r="51" spans="1:7" ht="26.4" x14ac:dyDescent="0.3">
      <c r="A51" s="21" t="s">
        <v>341</v>
      </c>
      <c r="B51" s="22">
        <v>7</v>
      </c>
      <c r="C51" s="10" t="s">
        <v>319</v>
      </c>
      <c r="D51" s="10" t="s">
        <v>343</v>
      </c>
      <c r="E51" s="10" t="s">
        <v>1901</v>
      </c>
      <c r="F51" s="10" t="s">
        <v>1902</v>
      </c>
      <c r="G51" s="10"/>
    </row>
    <row r="52" spans="1:7" x14ac:dyDescent="0.3">
      <c r="A52" s="21" t="s">
        <v>341</v>
      </c>
      <c r="B52" s="22">
        <v>7</v>
      </c>
      <c r="C52" s="10" t="s">
        <v>319</v>
      </c>
      <c r="D52" s="10" t="s">
        <v>343</v>
      </c>
      <c r="E52" s="10" t="s">
        <v>1903</v>
      </c>
      <c r="F52" s="10" t="s">
        <v>1904</v>
      </c>
      <c r="G52" s="10"/>
    </row>
    <row r="53" spans="1:7" x14ac:dyDescent="0.3">
      <c r="A53" s="21" t="s">
        <v>341</v>
      </c>
      <c r="B53" s="22">
        <v>7</v>
      </c>
      <c r="C53" s="10" t="s">
        <v>319</v>
      </c>
      <c r="D53" s="10" t="s">
        <v>343</v>
      </c>
      <c r="E53" s="10" t="s">
        <v>1905</v>
      </c>
      <c r="F53" s="10" t="s">
        <v>1906</v>
      </c>
      <c r="G53" s="10"/>
    </row>
    <row r="54" spans="1:7" x14ac:dyDescent="0.3">
      <c r="A54" s="21" t="s">
        <v>341</v>
      </c>
      <c r="B54" s="22">
        <v>7</v>
      </c>
      <c r="C54" s="10" t="s">
        <v>319</v>
      </c>
      <c r="D54" s="10" t="s">
        <v>343</v>
      </c>
      <c r="E54" s="10" t="s">
        <v>1907</v>
      </c>
      <c r="F54" s="10" t="s">
        <v>1908</v>
      </c>
      <c r="G54" s="10"/>
    </row>
    <row r="55" spans="1:7" x14ac:dyDescent="0.3">
      <c r="A55" s="21" t="s">
        <v>351</v>
      </c>
      <c r="B55" s="22">
        <v>7</v>
      </c>
      <c r="C55" s="10" t="s">
        <v>319</v>
      </c>
      <c r="D55" s="10" t="s">
        <v>352</v>
      </c>
      <c r="E55" s="10" t="s">
        <v>1909</v>
      </c>
      <c r="F55" s="10" t="s">
        <v>1910</v>
      </c>
      <c r="G55" s="10"/>
    </row>
    <row r="56" spans="1:7" x14ac:dyDescent="0.3">
      <c r="A56" s="21" t="s">
        <v>351</v>
      </c>
      <c r="B56" s="22">
        <v>7</v>
      </c>
      <c r="C56" s="10" t="s">
        <v>319</v>
      </c>
      <c r="D56" s="10" t="s">
        <v>352</v>
      </c>
      <c r="E56" s="10" t="s">
        <v>1911</v>
      </c>
      <c r="F56" s="10" t="s">
        <v>1912</v>
      </c>
      <c r="G56" s="10"/>
    </row>
    <row r="57" spans="1:7" x14ac:dyDescent="0.3">
      <c r="A57" s="21" t="s">
        <v>351</v>
      </c>
      <c r="B57" s="22">
        <v>7</v>
      </c>
      <c r="C57" s="10" t="s">
        <v>319</v>
      </c>
      <c r="D57" s="10" t="s">
        <v>352</v>
      </c>
      <c r="E57" s="10" t="s">
        <v>1913</v>
      </c>
      <c r="F57" s="10" t="s">
        <v>1914</v>
      </c>
      <c r="G57" s="10"/>
    </row>
    <row r="58" spans="1:7" x14ac:dyDescent="0.3">
      <c r="A58" s="21" t="s">
        <v>351</v>
      </c>
      <c r="B58" s="22">
        <v>7</v>
      </c>
      <c r="C58" s="10" t="s">
        <v>319</v>
      </c>
      <c r="D58" s="10" t="s">
        <v>352</v>
      </c>
      <c r="E58" s="10" t="s">
        <v>1915</v>
      </c>
      <c r="F58" s="10" t="s">
        <v>1916</v>
      </c>
      <c r="G58" s="10"/>
    </row>
    <row r="59" spans="1:7" x14ac:dyDescent="0.3">
      <c r="A59" s="21" t="s">
        <v>351</v>
      </c>
      <c r="B59" s="22">
        <v>7</v>
      </c>
      <c r="C59" s="10" t="s">
        <v>319</v>
      </c>
      <c r="D59" s="10" t="s">
        <v>352</v>
      </c>
      <c r="E59" s="10" t="s">
        <v>1917</v>
      </c>
      <c r="F59" s="10" t="s">
        <v>1918</v>
      </c>
      <c r="G59" s="10"/>
    </row>
    <row r="60" spans="1:7" x14ac:dyDescent="0.3">
      <c r="A60" s="21" t="s">
        <v>360</v>
      </c>
      <c r="B60" s="22">
        <v>7</v>
      </c>
      <c r="C60" s="10" t="s">
        <v>319</v>
      </c>
      <c r="D60" s="10" t="s">
        <v>362</v>
      </c>
      <c r="E60" s="10" t="s">
        <v>1919</v>
      </c>
      <c r="F60" s="10"/>
      <c r="G60" s="10"/>
    </row>
    <row r="61" spans="1:7" x14ac:dyDescent="0.3">
      <c r="A61" s="21" t="s">
        <v>360</v>
      </c>
      <c r="B61" s="22">
        <v>7</v>
      </c>
      <c r="C61" s="10" t="s">
        <v>319</v>
      </c>
      <c r="D61" s="10" t="s">
        <v>362</v>
      </c>
      <c r="E61" s="10" t="s">
        <v>1920</v>
      </c>
      <c r="F61" s="10"/>
      <c r="G61" s="10"/>
    </row>
    <row r="62" spans="1:7" x14ac:dyDescent="0.3">
      <c r="A62" s="21" t="s">
        <v>369</v>
      </c>
      <c r="B62" s="22">
        <v>7</v>
      </c>
      <c r="C62" s="10" t="s">
        <v>319</v>
      </c>
      <c r="D62" s="10" t="s">
        <v>370</v>
      </c>
      <c r="E62" s="10" t="s">
        <v>1921</v>
      </c>
      <c r="F62" s="10" t="s">
        <v>1922</v>
      </c>
      <c r="G62" s="10"/>
    </row>
    <row r="63" spans="1:7" x14ac:dyDescent="0.3">
      <c r="A63" s="21" t="s">
        <v>369</v>
      </c>
      <c r="B63" s="22">
        <v>7</v>
      </c>
      <c r="C63" s="10" t="s">
        <v>319</v>
      </c>
      <c r="D63" s="10" t="s">
        <v>370</v>
      </c>
      <c r="E63" s="10" t="s">
        <v>1923</v>
      </c>
      <c r="F63" s="10" t="s">
        <v>1924</v>
      </c>
      <c r="G63" s="10"/>
    </row>
    <row r="64" spans="1:7" x14ac:dyDescent="0.3">
      <c r="A64" s="23" t="s">
        <v>380</v>
      </c>
      <c r="B64" s="24">
        <v>8</v>
      </c>
      <c r="C64" s="10" t="s">
        <v>382</v>
      </c>
      <c r="D64" s="10" t="s">
        <v>384</v>
      </c>
      <c r="E64" s="10" t="s">
        <v>1925</v>
      </c>
      <c r="F64" s="10" t="s">
        <v>1926</v>
      </c>
      <c r="G64" s="10"/>
    </row>
    <row r="65" spans="1:7" x14ac:dyDescent="0.3">
      <c r="A65" s="23" t="s">
        <v>380</v>
      </c>
      <c r="B65" s="24">
        <v>8</v>
      </c>
      <c r="C65" s="10" t="s">
        <v>382</v>
      </c>
      <c r="D65" s="10" t="s">
        <v>384</v>
      </c>
      <c r="E65" s="10" t="s">
        <v>1927</v>
      </c>
      <c r="F65" s="10"/>
      <c r="G65" s="10"/>
    </row>
    <row r="66" spans="1:7" x14ac:dyDescent="0.3">
      <c r="A66" s="23" t="s">
        <v>380</v>
      </c>
      <c r="B66" s="24">
        <v>8</v>
      </c>
      <c r="C66" s="10" t="s">
        <v>382</v>
      </c>
      <c r="D66" s="10" t="s">
        <v>384</v>
      </c>
      <c r="E66" s="10" t="s">
        <v>1928</v>
      </c>
      <c r="F66" s="10"/>
      <c r="G66" s="10"/>
    </row>
    <row r="67" spans="1:7" x14ac:dyDescent="0.3">
      <c r="A67" s="23" t="s">
        <v>380</v>
      </c>
      <c r="B67" s="24">
        <v>8</v>
      </c>
      <c r="C67" s="10" t="s">
        <v>382</v>
      </c>
      <c r="D67" s="10" t="s">
        <v>384</v>
      </c>
      <c r="E67" s="10" t="s">
        <v>1929</v>
      </c>
      <c r="F67" s="10" t="s">
        <v>1930</v>
      </c>
      <c r="G67" s="10"/>
    </row>
    <row r="68" spans="1:7" x14ac:dyDescent="0.3">
      <c r="A68" s="23" t="s">
        <v>390</v>
      </c>
      <c r="B68" s="24">
        <v>8</v>
      </c>
      <c r="C68" s="10" t="s">
        <v>382</v>
      </c>
      <c r="D68" s="10" t="s">
        <v>391</v>
      </c>
      <c r="E68" s="10" t="s">
        <v>1931</v>
      </c>
      <c r="F68" s="10" t="s">
        <v>1932</v>
      </c>
      <c r="G68" s="10"/>
    </row>
    <row r="69" spans="1:7" x14ac:dyDescent="0.3">
      <c r="A69" s="23" t="s">
        <v>390</v>
      </c>
      <c r="B69" s="24">
        <v>8</v>
      </c>
      <c r="C69" s="10" t="s">
        <v>382</v>
      </c>
      <c r="D69" s="10" t="s">
        <v>391</v>
      </c>
      <c r="E69" s="10" t="s">
        <v>1933</v>
      </c>
      <c r="F69" s="10" t="s">
        <v>1934</v>
      </c>
      <c r="G69" s="10"/>
    </row>
    <row r="70" spans="1:7" ht="26.4" x14ac:dyDescent="0.3">
      <c r="A70" s="23" t="s">
        <v>397</v>
      </c>
      <c r="B70" s="24">
        <v>8</v>
      </c>
      <c r="C70" s="10" t="s">
        <v>382</v>
      </c>
      <c r="D70" s="10" t="s">
        <v>398</v>
      </c>
      <c r="E70" s="10" t="s">
        <v>1935</v>
      </c>
      <c r="F70" s="10" t="s">
        <v>1936</v>
      </c>
      <c r="G70" s="10"/>
    </row>
    <row r="71" spans="1:7" x14ac:dyDescent="0.3">
      <c r="A71" s="23" t="s">
        <v>397</v>
      </c>
      <c r="B71" s="24">
        <v>8</v>
      </c>
      <c r="C71" s="10" t="s">
        <v>382</v>
      </c>
      <c r="D71" s="10" t="s">
        <v>398</v>
      </c>
      <c r="E71" s="10" t="s">
        <v>1937</v>
      </c>
      <c r="F71" s="10"/>
      <c r="G71" s="10"/>
    </row>
    <row r="72" spans="1:7" x14ac:dyDescent="0.3">
      <c r="A72" s="23" t="s">
        <v>397</v>
      </c>
      <c r="B72" s="24">
        <v>8</v>
      </c>
      <c r="C72" s="10" t="s">
        <v>382</v>
      </c>
      <c r="D72" s="10" t="s">
        <v>398</v>
      </c>
      <c r="E72" s="10" t="s">
        <v>1938</v>
      </c>
      <c r="F72" s="10"/>
      <c r="G72" s="10"/>
    </row>
    <row r="73" spans="1:7" x14ac:dyDescent="0.3">
      <c r="A73" s="23" t="s">
        <v>405</v>
      </c>
      <c r="B73" s="24">
        <v>8</v>
      </c>
      <c r="C73" s="10" t="s">
        <v>382</v>
      </c>
      <c r="D73" s="10" t="s">
        <v>407</v>
      </c>
      <c r="E73" s="10" t="s">
        <v>1939</v>
      </c>
      <c r="F73" s="10" t="s">
        <v>1940</v>
      </c>
      <c r="G73" s="10"/>
    </row>
    <row r="74" spans="1:7" x14ac:dyDescent="0.3">
      <c r="A74" s="23" t="s">
        <v>414</v>
      </c>
      <c r="B74" s="24">
        <v>8</v>
      </c>
      <c r="C74" s="10" t="s">
        <v>382</v>
      </c>
      <c r="D74" s="10" t="s">
        <v>415</v>
      </c>
      <c r="E74" s="10" t="s">
        <v>1941</v>
      </c>
      <c r="F74" s="10" t="s">
        <v>1942</v>
      </c>
      <c r="G74" s="10"/>
    </row>
    <row r="75" spans="1:7" x14ac:dyDescent="0.3">
      <c r="A75" s="23" t="s">
        <v>414</v>
      </c>
      <c r="B75" s="24">
        <v>8</v>
      </c>
      <c r="C75" s="10" t="s">
        <v>382</v>
      </c>
      <c r="D75" s="10" t="s">
        <v>415</v>
      </c>
      <c r="E75" s="10" t="s">
        <v>1943</v>
      </c>
      <c r="F75" s="10" t="s">
        <v>1944</v>
      </c>
      <c r="G75" s="10"/>
    </row>
    <row r="76" spans="1:7" x14ac:dyDescent="0.3">
      <c r="A76" s="23" t="s">
        <v>414</v>
      </c>
      <c r="B76" s="24">
        <v>8</v>
      </c>
      <c r="C76" s="10" t="s">
        <v>382</v>
      </c>
      <c r="D76" s="10" t="s">
        <v>415</v>
      </c>
      <c r="E76" s="10" t="s">
        <v>1945</v>
      </c>
      <c r="F76" s="10"/>
      <c r="G76" s="10"/>
    </row>
    <row r="77" spans="1:7" x14ac:dyDescent="0.3">
      <c r="A77" s="23" t="s">
        <v>414</v>
      </c>
      <c r="B77" s="24">
        <v>8</v>
      </c>
      <c r="C77" s="10" t="s">
        <v>382</v>
      </c>
      <c r="D77" s="10" t="s">
        <v>415</v>
      </c>
      <c r="E77" s="10" t="s">
        <v>1946</v>
      </c>
      <c r="F77" s="10"/>
      <c r="G77" s="10"/>
    </row>
    <row r="78" spans="1:7" x14ac:dyDescent="0.3">
      <c r="A78" s="23" t="s">
        <v>422</v>
      </c>
      <c r="B78" s="24">
        <v>8</v>
      </c>
      <c r="C78" s="10" t="s">
        <v>382</v>
      </c>
      <c r="D78" s="10" t="s">
        <v>423</v>
      </c>
      <c r="E78" s="10" t="s">
        <v>1938</v>
      </c>
      <c r="F78" s="10" t="s">
        <v>1947</v>
      </c>
      <c r="G78" s="10" t="s">
        <v>1948</v>
      </c>
    </row>
    <row r="79" spans="1:7" x14ac:dyDescent="0.3">
      <c r="A79" s="23" t="s">
        <v>422</v>
      </c>
      <c r="B79" s="24">
        <v>8</v>
      </c>
      <c r="C79" s="10" t="s">
        <v>382</v>
      </c>
      <c r="D79" s="10" t="s">
        <v>423</v>
      </c>
      <c r="E79" s="10" t="s">
        <v>1949</v>
      </c>
      <c r="F79" s="10" t="s">
        <v>1950</v>
      </c>
      <c r="G79" s="10" t="s">
        <v>1951</v>
      </c>
    </row>
    <row r="80" spans="1:7" x14ac:dyDescent="0.3">
      <c r="A80" s="23" t="s">
        <v>422</v>
      </c>
      <c r="B80" s="24">
        <v>8</v>
      </c>
      <c r="C80" s="10" t="s">
        <v>382</v>
      </c>
      <c r="D80" s="10" t="s">
        <v>423</v>
      </c>
      <c r="E80" s="10" t="s">
        <v>1952</v>
      </c>
      <c r="F80" s="10"/>
      <c r="G80" s="10" t="s">
        <v>1953</v>
      </c>
    </row>
    <row r="81" spans="1:7" x14ac:dyDescent="0.3">
      <c r="A81" s="23" t="s">
        <v>422</v>
      </c>
      <c r="B81" s="24">
        <v>8</v>
      </c>
      <c r="C81" s="10" t="s">
        <v>382</v>
      </c>
      <c r="D81" s="10" t="s">
        <v>423</v>
      </c>
      <c r="E81" s="10" t="s">
        <v>1954</v>
      </c>
      <c r="F81" s="10"/>
      <c r="G81" s="10" t="s">
        <v>1955</v>
      </c>
    </row>
    <row r="82" spans="1:7" x14ac:dyDescent="0.3">
      <c r="A82" s="23" t="s">
        <v>430</v>
      </c>
      <c r="B82" s="24">
        <v>8</v>
      </c>
      <c r="C82" s="10" t="s">
        <v>382</v>
      </c>
      <c r="D82" s="10" t="s">
        <v>432</v>
      </c>
      <c r="E82" s="10" t="s">
        <v>1956</v>
      </c>
      <c r="F82" s="10" t="s">
        <v>1957</v>
      </c>
      <c r="G82" s="10"/>
    </row>
    <row r="83" spans="1:7" x14ac:dyDescent="0.3">
      <c r="A83" s="23" t="s">
        <v>430</v>
      </c>
      <c r="B83" s="24">
        <v>8</v>
      </c>
      <c r="C83" s="10" t="s">
        <v>382</v>
      </c>
      <c r="D83" s="10" t="s">
        <v>432</v>
      </c>
      <c r="E83" s="10" t="s">
        <v>1958</v>
      </c>
      <c r="F83" s="10" t="s">
        <v>1959</v>
      </c>
      <c r="G83" s="10"/>
    </row>
    <row r="84" spans="1:7" x14ac:dyDescent="0.3">
      <c r="A84" s="23" t="s">
        <v>430</v>
      </c>
      <c r="B84" s="24">
        <v>8</v>
      </c>
      <c r="C84" s="10" t="s">
        <v>382</v>
      </c>
      <c r="D84" s="10" t="s">
        <v>432</v>
      </c>
      <c r="E84" s="10" t="s">
        <v>1960</v>
      </c>
      <c r="F84" s="10"/>
      <c r="G84" s="10"/>
    </row>
    <row r="85" spans="1:7" x14ac:dyDescent="0.3">
      <c r="A85" s="23" t="s">
        <v>430</v>
      </c>
      <c r="B85" s="24">
        <v>8</v>
      </c>
      <c r="C85" s="10" t="s">
        <v>382</v>
      </c>
      <c r="D85" s="10" t="s">
        <v>432</v>
      </c>
      <c r="E85" s="10" t="s">
        <v>1961</v>
      </c>
      <c r="F85" s="10" t="s">
        <v>1962</v>
      </c>
      <c r="G85" s="10"/>
    </row>
    <row r="86" spans="1:7" x14ac:dyDescent="0.3">
      <c r="A86" s="23" t="s">
        <v>430</v>
      </c>
      <c r="B86" s="24">
        <v>8</v>
      </c>
      <c r="C86" s="10" t="s">
        <v>382</v>
      </c>
      <c r="D86" s="10" t="s">
        <v>432</v>
      </c>
      <c r="E86" s="10" t="s">
        <v>1963</v>
      </c>
      <c r="F86" s="10" t="s">
        <v>1964</v>
      </c>
      <c r="G86" s="10"/>
    </row>
    <row r="87" spans="1:7" x14ac:dyDescent="0.3">
      <c r="A87" s="23" t="s">
        <v>430</v>
      </c>
      <c r="B87" s="24">
        <v>8</v>
      </c>
      <c r="C87" s="10" t="s">
        <v>382</v>
      </c>
      <c r="D87" s="10" t="s">
        <v>432</v>
      </c>
      <c r="E87" s="10" t="s">
        <v>1965</v>
      </c>
      <c r="F87" s="10"/>
      <c r="G87" s="10"/>
    </row>
    <row r="88" spans="1:7" x14ac:dyDescent="0.3">
      <c r="A88" s="23" t="s">
        <v>447</v>
      </c>
      <c r="B88" s="24">
        <v>8</v>
      </c>
      <c r="C88" s="10" t="s">
        <v>382</v>
      </c>
      <c r="D88" s="10" t="s">
        <v>448</v>
      </c>
      <c r="E88" s="10" t="s">
        <v>1966</v>
      </c>
      <c r="F88" s="10" t="s">
        <v>1967</v>
      </c>
      <c r="G88" s="10"/>
    </row>
    <row r="89" spans="1:7" x14ac:dyDescent="0.3">
      <c r="A89" s="23" t="s">
        <v>447</v>
      </c>
      <c r="B89" s="24">
        <v>8</v>
      </c>
      <c r="C89" s="10" t="s">
        <v>382</v>
      </c>
      <c r="D89" s="10" t="s">
        <v>448</v>
      </c>
      <c r="E89" s="10" t="s">
        <v>1968</v>
      </c>
      <c r="F89" s="10" t="s">
        <v>1969</v>
      </c>
      <c r="G89" s="10"/>
    </row>
    <row r="90" spans="1:7" x14ac:dyDescent="0.3">
      <c r="A90" s="23" t="s">
        <v>447</v>
      </c>
      <c r="B90" s="24">
        <v>8</v>
      </c>
      <c r="C90" s="10" t="s">
        <v>382</v>
      </c>
      <c r="D90" s="10" t="s">
        <v>448</v>
      </c>
      <c r="E90" s="10" t="s">
        <v>1970</v>
      </c>
      <c r="F90" s="10"/>
      <c r="G90" s="10"/>
    </row>
    <row r="91" spans="1:7" x14ac:dyDescent="0.3">
      <c r="A91" s="23" t="s">
        <v>447</v>
      </c>
      <c r="B91" s="24">
        <v>8</v>
      </c>
      <c r="C91" s="10" t="s">
        <v>382</v>
      </c>
      <c r="D91" s="10" t="s">
        <v>448</v>
      </c>
      <c r="E91" s="10" t="s">
        <v>1971</v>
      </c>
      <c r="F91" s="10"/>
      <c r="G91" s="10"/>
    </row>
    <row r="92" spans="1:7" x14ac:dyDescent="0.3">
      <c r="A92" s="23" t="s">
        <v>447</v>
      </c>
      <c r="B92" s="24">
        <v>8</v>
      </c>
      <c r="C92" s="10" t="s">
        <v>382</v>
      </c>
      <c r="D92" s="10" t="s">
        <v>448</v>
      </c>
      <c r="E92" s="10" t="s">
        <v>1972</v>
      </c>
      <c r="F92" s="10"/>
      <c r="G92" s="10"/>
    </row>
    <row r="93" spans="1:7" x14ac:dyDescent="0.3">
      <c r="A93" s="23" t="s">
        <v>447</v>
      </c>
      <c r="B93" s="24">
        <v>8</v>
      </c>
      <c r="C93" s="10" t="s">
        <v>382</v>
      </c>
      <c r="D93" s="10" t="s">
        <v>448</v>
      </c>
      <c r="E93" s="10" t="s">
        <v>1973</v>
      </c>
      <c r="F93" s="10"/>
      <c r="G93" s="10"/>
    </row>
    <row r="94" spans="1:7" x14ac:dyDescent="0.3">
      <c r="A94" s="23" t="s">
        <v>460</v>
      </c>
      <c r="B94" s="24">
        <v>8</v>
      </c>
      <c r="C94" s="10" t="s">
        <v>382</v>
      </c>
      <c r="D94" s="10" t="s">
        <v>461</v>
      </c>
      <c r="E94" s="10" t="s">
        <v>1892</v>
      </c>
      <c r="F94" s="10" t="s">
        <v>1974</v>
      </c>
      <c r="G94" s="10"/>
    </row>
    <row r="95" spans="1:7" x14ac:dyDescent="0.3">
      <c r="A95" s="23" t="s">
        <v>460</v>
      </c>
      <c r="B95" s="24">
        <v>8</v>
      </c>
      <c r="C95" s="10" t="s">
        <v>382</v>
      </c>
      <c r="D95" s="10" t="s">
        <v>461</v>
      </c>
      <c r="E95" s="10" t="s">
        <v>1975</v>
      </c>
      <c r="F95" s="10" t="s">
        <v>1976</v>
      </c>
      <c r="G95" s="10"/>
    </row>
    <row r="96" spans="1:7" x14ac:dyDescent="0.3">
      <c r="A96" s="23" t="s">
        <v>466</v>
      </c>
      <c r="B96" s="24">
        <v>8</v>
      </c>
      <c r="C96" s="10" t="s">
        <v>382</v>
      </c>
      <c r="D96" s="10" t="s">
        <v>467</v>
      </c>
      <c r="E96" s="10" t="s">
        <v>1977</v>
      </c>
      <c r="F96" s="10" t="s">
        <v>1978</v>
      </c>
      <c r="G96" s="10"/>
    </row>
    <row r="97" spans="1:7" x14ac:dyDescent="0.3">
      <c r="A97" s="23" t="s">
        <v>466</v>
      </c>
      <c r="B97" s="24">
        <v>8</v>
      </c>
      <c r="C97" s="10" t="s">
        <v>382</v>
      </c>
      <c r="D97" s="10" t="s">
        <v>467</v>
      </c>
      <c r="E97" s="10" t="s">
        <v>1979</v>
      </c>
      <c r="F97" s="10"/>
      <c r="G97" s="10"/>
    </row>
    <row r="98" spans="1:7" x14ac:dyDescent="0.3">
      <c r="A98" s="23" t="s">
        <v>466</v>
      </c>
      <c r="B98" s="24">
        <v>8</v>
      </c>
      <c r="C98" s="10" t="s">
        <v>382</v>
      </c>
      <c r="D98" s="10" t="s">
        <v>467</v>
      </c>
      <c r="E98" s="10" t="s">
        <v>1980</v>
      </c>
      <c r="F98" s="10"/>
      <c r="G98" s="10"/>
    </row>
    <row r="99" spans="1:7" x14ac:dyDescent="0.3">
      <c r="A99" s="23" t="s">
        <v>466</v>
      </c>
      <c r="B99" s="24">
        <v>8</v>
      </c>
      <c r="C99" s="10" t="s">
        <v>382</v>
      </c>
      <c r="D99" s="10" t="s">
        <v>467</v>
      </c>
      <c r="E99" s="10" t="s">
        <v>1981</v>
      </c>
      <c r="F99" s="10" t="s">
        <v>1982</v>
      </c>
      <c r="G99" s="10"/>
    </row>
    <row r="100" spans="1:7" x14ac:dyDescent="0.3">
      <c r="A100" s="23" t="s">
        <v>475</v>
      </c>
      <c r="B100" s="24">
        <v>8</v>
      </c>
      <c r="C100" s="10" t="s">
        <v>382</v>
      </c>
      <c r="D100" s="10" t="s">
        <v>477</v>
      </c>
      <c r="E100" s="10" t="s">
        <v>1983</v>
      </c>
      <c r="F100" s="10" t="s">
        <v>1984</v>
      </c>
      <c r="G100" s="10"/>
    </row>
    <row r="101" spans="1:7" x14ac:dyDescent="0.3">
      <c r="A101" s="23" t="s">
        <v>475</v>
      </c>
      <c r="B101" s="24">
        <v>8</v>
      </c>
      <c r="C101" s="10" t="s">
        <v>382</v>
      </c>
      <c r="D101" s="10" t="s">
        <v>477</v>
      </c>
      <c r="E101" s="10" t="s">
        <v>1985</v>
      </c>
      <c r="F101" s="10"/>
      <c r="G101" s="10"/>
    </row>
    <row r="102" spans="1:7" x14ac:dyDescent="0.3">
      <c r="A102" s="23" t="s">
        <v>475</v>
      </c>
      <c r="B102" s="24">
        <v>8</v>
      </c>
      <c r="C102" s="10" t="s">
        <v>382</v>
      </c>
      <c r="D102" s="10" t="s">
        <v>477</v>
      </c>
      <c r="E102" s="10" t="s">
        <v>1986</v>
      </c>
      <c r="F102" s="10" t="s">
        <v>1987</v>
      </c>
      <c r="G102" s="10"/>
    </row>
    <row r="103" spans="1:7" x14ac:dyDescent="0.3">
      <c r="A103" s="23" t="s">
        <v>483</v>
      </c>
      <c r="B103" s="24">
        <v>8</v>
      </c>
      <c r="C103" s="10" t="s">
        <v>382</v>
      </c>
      <c r="D103" s="10" t="s">
        <v>484</v>
      </c>
      <c r="E103" s="10" t="s">
        <v>1988</v>
      </c>
      <c r="F103" s="10" t="s">
        <v>1989</v>
      </c>
      <c r="G103" s="10"/>
    </row>
    <row r="104" spans="1:7" ht="26.4" x14ac:dyDescent="0.3">
      <c r="A104" s="23" t="s">
        <v>483</v>
      </c>
      <c r="B104" s="24">
        <v>8</v>
      </c>
      <c r="C104" s="10" t="s">
        <v>382</v>
      </c>
      <c r="D104" s="10" t="s">
        <v>484</v>
      </c>
      <c r="E104" s="10" t="s">
        <v>1990</v>
      </c>
      <c r="F104" s="10"/>
      <c r="G104" s="10"/>
    </row>
    <row r="105" spans="1:7" x14ac:dyDescent="0.3">
      <c r="A105" s="23" t="s">
        <v>497</v>
      </c>
      <c r="B105" s="24">
        <v>8</v>
      </c>
      <c r="C105" s="10" t="s">
        <v>382</v>
      </c>
      <c r="D105" s="10" t="s">
        <v>498</v>
      </c>
      <c r="E105" s="10" t="s">
        <v>1991</v>
      </c>
      <c r="F105" s="10" t="s">
        <v>1992</v>
      </c>
      <c r="G105" s="10"/>
    </row>
    <row r="106" spans="1:7" x14ac:dyDescent="0.3">
      <c r="A106" s="23" t="s">
        <v>497</v>
      </c>
      <c r="B106" s="24">
        <v>8</v>
      </c>
      <c r="C106" s="10" t="s">
        <v>382</v>
      </c>
      <c r="D106" s="10" t="s">
        <v>498</v>
      </c>
      <c r="E106" s="10" t="s">
        <v>1993</v>
      </c>
      <c r="F106" s="10"/>
      <c r="G106" s="10"/>
    </row>
    <row r="107" spans="1:7" x14ac:dyDescent="0.3">
      <c r="A107" s="23" t="s">
        <v>497</v>
      </c>
      <c r="B107" s="24">
        <v>8</v>
      </c>
      <c r="C107" s="10" t="s">
        <v>382</v>
      </c>
      <c r="D107" s="10" t="s">
        <v>498</v>
      </c>
      <c r="E107" s="10" t="s">
        <v>1994</v>
      </c>
      <c r="F107" s="10" t="s">
        <v>1995</v>
      </c>
      <c r="G107" s="10"/>
    </row>
    <row r="108" spans="1:7" x14ac:dyDescent="0.3">
      <c r="A108" s="23" t="s">
        <v>497</v>
      </c>
      <c r="B108" s="24">
        <v>8</v>
      </c>
      <c r="C108" s="10" t="s">
        <v>382</v>
      </c>
      <c r="D108" s="10" t="s">
        <v>498</v>
      </c>
      <c r="E108" s="10" t="s">
        <v>1996</v>
      </c>
      <c r="F108" s="10"/>
      <c r="G108" s="10"/>
    </row>
    <row r="109" spans="1:7" ht="26.4" x14ac:dyDescent="0.3">
      <c r="A109" s="23" t="s">
        <v>518</v>
      </c>
      <c r="B109" s="24">
        <v>8</v>
      </c>
      <c r="C109" s="10" t="s">
        <v>382</v>
      </c>
      <c r="D109" s="10" t="s">
        <v>519</v>
      </c>
      <c r="E109" s="10" t="s">
        <v>1997</v>
      </c>
      <c r="F109" s="10" t="s">
        <v>1998</v>
      </c>
      <c r="G109" s="10"/>
    </row>
    <row r="110" spans="1:7" x14ac:dyDescent="0.3">
      <c r="A110" s="23" t="s">
        <v>518</v>
      </c>
      <c r="B110" s="24">
        <v>8</v>
      </c>
      <c r="C110" s="10" t="s">
        <v>382</v>
      </c>
      <c r="D110" s="10" t="s">
        <v>519</v>
      </c>
      <c r="E110" s="10" t="s">
        <v>1999</v>
      </c>
      <c r="F110" s="10" t="s">
        <v>2000</v>
      </c>
      <c r="G110" s="10"/>
    </row>
    <row r="111" spans="1:7" x14ac:dyDescent="0.3">
      <c r="A111" s="23" t="s">
        <v>518</v>
      </c>
      <c r="B111" s="24">
        <v>8</v>
      </c>
      <c r="C111" s="10" t="s">
        <v>382</v>
      </c>
      <c r="D111" s="10" t="s">
        <v>519</v>
      </c>
      <c r="E111" s="10" t="s">
        <v>2001</v>
      </c>
      <c r="F111" s="10" t="s">
        <v>2002</v>
      </c>
      <c r="G111" s="10"/>
    </row>
    <row r="112" spans="1:7" x14ac:dyDescent="0.3">
      <c r="A112" s="23" t="s">
        <v>526</v>
      </c>
      <c r="B112" s="24">
        <v>8</v>
      </c>
      <c r="C112" s="10" t="s">
        <v>382</v>
      </c>
      <c r="D112" s="10" t="s">
        <v>527</v>
      </c>
      <c r="E112" s="10" t="s">
        <v>2003</v>
      </c>
      <c r="F112" s="10" t="s">
        <v>2004</v>
      </c>
      <c r="G112" s="10"/>
    </row>
    <row r="113" spans="1:7" x14ac:dyDescent="0.3">
      <c r="A113" s="23" t="s">
        <v>526</v>
      </c>
      <c r="B113" s="24">
        <v>8</v>
      </c>
      <c r="C113" s="10" t="s">
        <v>382</v>
      </c>
      <c r="D113" s="10" t="s">
        <v>527</v>
      </c>
      <c r="E113" s="10" t="s">
        <v>2005</v>
      </c>
      <c r="F113" s="10"/>
      <c r="G113" s="10"/>
    </row>
    <row r="114" spans="1:7" x14ac:dyDescent="0.3">
      <c r="A114" s="23" t="s">
        <v>526</v>
      </c>
      <c r="B114" s="24">
        <v>8</v>
      </c>
      <c r="C114" s="10" t="s">
        <v>382</v>
      </c>
      <c r="D114" s="10" t="s">
        <v>527</v>
      </c>
      <c r="E114" s="10" t="s">
        <v>2006</v>
      </c>
      <c r="F114" s="10" t="s">
        <v>2007</v>
      </c>
      <c r="G114" s="10"/>
    </row>
    <row r="115" spans="1:7" x14ac:dyDescent="0.3">
      <c r="A115" s="23" t="s">
        <v>526</v>
      </c>
      <c r="B115" s="24">
        <v>8</v>
      </c>
      <c r="C115" s="10" t="s">
        <v>382</v>
      </c>
      <c r="D115" s="10" t="s">
        <v>527</v>
      </c>
      <c r="E115" s="10" t="s">
        <v>2008</v>
      </c>
      <c r="F115" s="10" t="s">
        <v>2009</v>
      </c>
      <c r="G115" s="10"/>
    </row>
    <row r="116" spans="1:7" x14ac:dyDescent="0.3">
      <c r="A116" s="23" t="s">
        <v>526</v>
      </c>
      <c r="B116" s="24">
        <v>8</v>
      </c>
      <c r="C116" s="10" t="s">
        <v>382</v>
      </c>
      <c r="D116" s="10" t="s">
        <v>527</v>
      </c>
      <c r="E116" s="10" t="s">
        <v>2010</v>
      </c>
      <c r="F116" s="10"/>
      <c r="G116" s="10"/>
    </row>
    <row r="117" spans="1:7" x14ac:dyDescent="0.3">
      <c r="A117" s="23" t="s">
        <v>539</v>
      </c>
      <c r="B117" s="24">
        <v>8</v>
      </c>
      <c r="C117" s="10" t="s">
        <v>382</v>
      </c>
      <c r="D117" s="10" t="s">
        <v>541</v>
      </c>
      <c r="E117" s="10" t="s">
        <v>2011</v>
      </c>
      <c r="F117" s="10" t="s">
        <v>2012</v>
      </c>
      <c r="G117" s="10"/>
    </row>
    <row r="118" spans="1:7" x14ac:dyDescent="0.3">
      <c r="A118" s="23" t="s">
        <v>539</v>
      </c>
      <c r="B118" s="24">
        <v>8</v>
      </c>
      <c r="C118" s="10" t="s">
        <v>382</v>
      </c>
      <c r="D118" s="10" t="s">
        <v>541</v>
      </c>
      <c r="E118" s="10" t="s">
        <v>2013</v>
      </c>
      <c r="F118" s="10"/>
      <c r="G118" s="10"/>
    </row>
    <row r="119" spans="1:7" x14ac:dyDescent="0.3">
      <c r="A119" s="23" t="s">
        <v>539</v>
      </c>
      <c r="B119" s="24">
        <v>8</v>
      </c>
      <c r="C119" s="10" t="s">
        <v>382</v>
      </c>
      <c r="D119" s="10" t="s">
        <v>541</v>
      </c>
      <c r="E119" s="10" t="s">
        <v>2014</v>
      </c>
      <c r="F119" s="10"/>
      <c r="G119" s="10"/>
    </row>
    <row r="120" spans="1:7" x14ac:dyDescent="0.3">
      <c r="A120" s="23" t="s">
        <v>539</v>
      </c>
      <c r="B120" s="24">
        <v>8</v>
      </c>
      <c r="C120" s="10" t="s">
        <v>382</v>
      </c>
      <c r="D120" s="10" t="s">
        <v>541</v>
      </c>
      <c r="E120" s="10" t="s">
        <v>2015</v>
      </c>
      <c r="F120" s="10" t="s">
        <v>2016</v>
      </c>
      <c r="G120" s="10"/>
    </row>
    <row r="121" spans="1:7" ht="26.4" x14ac:dyDescent="0.3">
      <c r="A121" s="23" t="s">
        <v>548</v>
      </c>
      <c r="B121" s="24">
        <v>8</v>
      </c>
      <c r="C121" s="10" t="s">
        <v>382</v>
      </c>
      <c r="D121" s="10" t="s">
        <v>549</v>
      </c>
      <c r="E121" s="10" t="s">
        <v>2017</v>
      </c>
      <c r="F121" s="10" t="s">
        <v>2018</v>
      </c>
      <c r="G121" s="10"/>
    </row>
    <row r="122" spans="1:7" x14ac:dyDescent="0.3">
      <c r="A122" s="23" t="s">
        <v>548</v>
      </c>
      <c r="B122" s="24">
        <v>8</v>
      </c>
      <c r="C122" s="10" t="s">
        <v>382</v>
      </c>
      <c r="D122" s="10" t="s">
        <v>549</v>
      </c>
      <c r="E122" s="10" t="s">
        <v>2019</v>
      </c>
      <c r="F122" s="10"/>
      <c r="G122" s="10"/>
    </row>
    <row r="123" spans="1:7" x14ac:dyDescent="0.3">
      <c r="A123" s="23" t="s">
        <v>548</v>
      </c>
      <c r="B123" s="24">
        <v>8</v>
      </c>
      <c r="C123" s="10" t="s">
        <v>382</v>
      </c>
      <c r="D123" s="10" t="s">
        <v>549</v>
      </c>
      <c r="E123" s="10" t="s">
        <v>2020</v>
      </c>
      <c r="F123" s="10"/>
      <c r="G123" s="10"/>
    </row>
    <row r="124" spans="1:7" x14ac:dyDescent="0.3">
      <c r="A124" s="23" t="s">
        <v>556</v>
      </c>
      <c r="B124" s="24">
        <v>8</v>
      </c>
      <c r="C124" s="10" t="s">
        <v>382</v>
      </c>
      <c r="D124" s="10" t="s">
        <v>557</v>
      </c>
      <c r="E124" s="10" t="s">
        <v>2021</v>
      </c>
      <c r="F124" s="10" t="s">
        <v>2022</v>
      </c>
      <c r="G124" s="10"/>
    </row>
    <row r="125" spans="1:7" x14ac:dyDescent="0.3">
      <c r="A125" s="23" t="s">
        <v>556</v>
      </c>
      <c r="B125" s="24">
        <v>8</v>
      </c>
      <c r="C125" s="10" t="s">
        <v>382</v>
      </c>
      <c r="D125" s="10" t="s">
        <v>557</v>
      </c>
      <c r="E125" s="10" t="s">
        <v>2023</v>
      </c>
      <c r="F125" s="10" t="s">
        <v>2024</v>
      </c>
      <c r="G125" s="10"/>
    </row>
    <row r="126" spans="1:7" x14ac:dyDescent="0.3">
      <c r="A126" s="23" t="s">
        <v>556</v>
      </c>
      <c r="B126" s="24">
        <v>8</v>
      </c>
      <c r="C126" s="10" t="s">
        <v>382</v>
      </c>
      <c r="D126" s="10" t="s">
        <v>557</v>
      </c>
      <c r="E126" s="10" t="s">
        <v>2025</v>
      </c>
      <c r="F126" s="10" t="s">
        <v>2026</v>
      </c>
      <c r="G126" s="10"/>
    </row>
    <row r="127" spans="1:7" ht="26.4" x14ac:dyDescent="0.3">
      <c r="A127" s="23" t="s">
        <v>586</v>
      </c>
      <c r="B127" s="24">
        <v>8</v>
      </c>
      <c r="C127" s="10" t="s">
        <v>566</v>
      </c>
      <c r="D127" s="10" t="s">
        <v>587</v>
      </c>
      <c r="E127" s="10" t="s">
        <v>2027</v>
      </c>
      <c r="F127" s="10" t="s">
        <v>2028</v>
      </c>
      <c r="G127" s="10"/>
    </row>
    <row r="128" spans="1:7" ht="26.4" x14ac:dyDescent="0.3">
      <c r="A128" s="23" t="s">
        <v>586</v>
      </c>
      <c r="B128" s="24">
        <v>8</v>
      </c>
      <c r="C128" s="10" t="s">
        <v>566</v>
      </c>
      <c r="D128" s="10" t="s">
        <v>587</v>
      </c>
      <c r="E128" s="10" t="s">
        <v>2029</v>
      </c>
      <c r="F128" s="10" t="s">
        <v>2030</v>
      </c>
      <c r="G128" s="10"/>
    </row>
    <row r="129" spans="1:7" ht="26.4" x14ac:dyDescent="0.3">
      <c r="A129" s="23" t="s">
        <v>622</v>
      </c>
      <c r="B129" s="24">
        <v>8</v>
      </c>
      <c r="C129" s="10" t="s">
        <v>566</v>
      </c>
      <c r="D129" s="10" t="s">
        <v>623</v>
      </c>
      <c r="E129" s="10" t="s">
        <v>2031</v>
      </c>
      <c r="F129" s="10" t="s">
        <v>2032</v>
      </c>
      <c r="G129" s="10"/>
    </row>
    <row r="130" spans="1:7" ht="26.4" x14ac:dyDescent="0.3">
      <c r="A130" s="23" t="s">
        <v>622</v>
      </c>
      <c r="B130" s="24">
        <v>8</v>
      </c>
      <c r="C130" s="10" t="s">
        <v>566</v>
      </c>
      <c r="D130" s="10" t="s">
        <v>623</v>
      </c>
      <c r="E130" s="10" t="s">
        <v>2033</v>
      </c>
      <c r="F130" s="10" t="s">
        <v>2034</v>
      </c>
      <c r="G130" s="10"/>
    </row>
    <row r="131" spans="1:7" ht="26.4" x14ac:dyDescent="0.3">
      <c r="A131" s="23" t="s">
        <v>622</v>
      </c>
      <c r="B131" s="24">
        <v>8</v>
      </c>
      <c r="C131" s="10" t="s">
        <v>566</v>
      </c>
      <c r="D131" s="10" t="s">
        <v>623</v>
      </c>
      <c r="E131" s="10" t="s">
        <v>2035</v>
      </c>
      <c r="F131" s="10" t="s">
        <v>2036</v>
      </c>
      <c r="G131" s="10"/>
    </row>
    <row r="132" spans="1:7" ht="26.4" x14ac:dyDescent="0.3">
      <c r="A132" s="23" t="s">
        <v>628</v>
      </c>
      <c r="B132" s="24">
        <v>8</v>
      </c>
      <c r="C132" s="10" t="s">
        <v>566</v>
      </c>
      <c r="D132" s="10" t="s">
        <v>629</v>
      </c>
      <c r="E132" s="10" t="s">
        <v>2037</v>
      </c>
      <c r="F132" s="10" t="s">
        <v>2034</v>
      </c>
      <c r="G132" s="10"/>
    </row>
    <row r="133" spans="1:7" ht="26.4" x14ac:dyDescent="0.3">
      <c r="A133" s="23" t="s">
        <v>628</v>
      </c>
      <c r="B133" s="24">
        <v>8</v>
      </c>
      <c r="C133" s="10" t="s">
        <v>566</v>
      </c>
      <c r="D133" s="10" t="s">
        <v>629</v>
      </c>
      <c r="E133" s="10" t="s">
        <v>2038</v>
      </c>
      <c r="F133" s="10" t="s">
        <v>2032</v>
      </c>
      <c r="G133" s="10"/>
    </row>
    <row r="134" spans="1:7" ht="26.4" x14ac:dyDescent="0.3">
      <c r="A134" s="23" t="s">
        <v>628</v>
      </c>
      <c r="B134" s="24">
        <v>8</v>
      </c>
      <c r="C134" s="10" t="s">
        <v>566</v>
      </c>
      <c r="D134" s="10" t="s">
        <v>629</v>
      </c>
      <c r="E134" s="10" t="s">
        <v>2039</v>
      </c>
      <c r="F134" s="10" t="s">
        <v>2036</v>
      </c>
      <c r="G134" s="10"/>
    </row>
    <row r="135" spans="1:7" ht="26.4" x14ac:dyDescent="0.3">
      <c r="A135" s="23" t="s">
        <v>639</v>
      </c>
      <c r="B135" s="24">
        <v>8</v>
      </c>
      <c r="C135" s="10" t="s">
        <v>566</v>
      </c>
      <c r="D135" s="10" t="s">
        <v>641</v>
      </c>
      <c r="E135" s="10" t="s">
        <v>2040</v>
      </c>
      <c r="F135" s="10" t="s">
        <v>2041</v>
      </c>
      <c r="G135" s="10"/>
    </row>
    <row r="136" spans="1:7" ht="26.4" x14ac:dyDescent="0.3">
      <c r="A136" s="23" t="s">
        <v>639</v>
      </c>
      <c r="B136" s="24">
        <v>8</v>
      </c>
      <c r="C136" s="10" t="s">
        <v>566</v>
      </c>
      <c r="D136" s="10" t="s">
        <v>641</v>
      </c>
      <c r="E136" s="10" t="s">
        <v>2042</v>
      </c>
      <c r="F136" s="10" t="s">
        <v>2043</v>
      </c>
      <c r="G136" s="10"/>
    </row>
    <row r="137" spans="1:7" ht="26.4" x14ac:dyDescent="0.3">
      <c r="A137" s="23" t="s">
        <v>639</v>
      </c>
      <c r="B137" s="24">
        <v>8</v>
      </c>
      <c r="C137" s="10" t="s">
        <v>566</v>
      </c>
      <c r="D137" s="10" t="s">
        <v>641</v>
      </c>
      <c r="E137" s="10" t="s">
        <v>2044</v>
      </c>
      <c r="F137" s="10"/>
      <c r="G137" s="10"/>
    </row>
    <row r="138" spans="1:7" ht="26.4" x14ac:dyDescent="0.3">
      <c r="A138" s="23" t="s">
        <v>639</v>
      </c>
      <c r="B138" s="24">
        <v>8</v>
      </c>
      <c r="C138" s="10" t="s">
        <v>566</v>
      </c>
      <c r="D138" s="10" t="s">
        <v>641</v>
      </c>
      <c r="E138" s="10" t="s">
        <v>2045</v>
      </c>
      <c r="F138" s="10" t="s">
        <v>2046</v>
      </c>
      <c r="G138" s="10"/>
    </row>
    <row r="139" spans="1:7" ht="26.4" x14ac:dyDescent="0.3">
      <c r="A139" s="23" t="s">
        <v>639</v>
      </c>
      <c r="B139" s="24">
        <v>8</v>
      </c>
      <c r="C139" s="10" t="s">
        <v>566</v>
      </c>
      <c r="D139" s="10" t="s">
        <v>641</v>
      </c>
      <c r="E139" s="10" t="s">
        <v>2047</v>
      </c>
      <c r="F139" s="10" t="s">
        <v>2048</v>
      </c>
      <c r="G139" s="10"/>
    </row>
    <row r="140" spans="1:7" ht="26.4" x14ac:dyDescent="0.3">
      <c r="A140" s="23" t="s">
        <v>656</v>
      </c>
      <c r="B140" s="24">
        <v>8</v>
      </c>
      <c r="C140" s="10" t="s">
        <v>566</v>
      </c>
      <c r="D140" s="10" t="s">
        <v>657</v>
      </c>
      <c r="E140" s="10" t="s">
        <v>2047</v>
      </c>
      <c r="F140" s="10"/>
      <c r="G140" s="10"/>
    </row>
    <row r="141" spans="1:7" ht="26.4" x14ac:dyDescent="0.3">
      <c r="A141" s="23" t="s">
        <v>656</v>
      </c>
      <c r="B141" s="24">
        <v>8</v>
      </c>
      <c r="C141" s="10" t="s">
        <v>566</v>
      </c>
      <c r="D141" s="10" t="s">
        <v>657</v>
      </c>
      <c r="E141" s="10" t="s">
        <v>2049</v>
      </c>
      <c r="F141" s="10" t="s">
        <v>2050</v>
      </c>
      <c r="G141" s="10"/>
    </row>
    <row r="142" spans="1:7" ht="26.4" x14ac:dyDescent="0.3">
      <c r="A142" s="23" t="s">
        <v>656</v>
      </c>
      <c r="B142" s="24">
        <v>8</v>
      </c>
      <c r="C142" s="10" t="s">
        <v>566</v>
      </c>
      <c r="D142" s="10" t="s">
        <v>657</v>
      </c>
      <c r="E142" s="10" t="s">
        <v>2051</v>
      </c>
      <c r="F142" s="10" t="s">
        <v>1930</v>
      </c>
      <c r="G142" s="10"/>
    </row>
    <row r="143" spans="1:7" ht="26.4" x14ac:dyDescent="0.3">
      <c r="A143" s="23" t="s">
        <v>681</v>
      </c>
      <c r="B143" s="24">
        <v>8</v>
      </c>
      <c r="C143" s="10" t="s">
        <v>566</v>
      </c>
      <c r="D143" s="10" t="s">
        <v>682</v>
      </c>
      <c r="E143" s="10" t="s">
        <v>2052</v>
      </c>
      <c r="F143" s="10" t="s">
        <v>2053</v>
      </c>
      <c r="G143" s="10"/>
    </row>
    <row r="144" spans="1:7" ht="26.4" x14ac:dyDescent="0.3">
      <c r="A144" s="23" t="s">
        <v>681</v>
      </c>
      <c r="B144" s="24">
        <v>8</v>
      </c>
      <c r="C144" s="10" t="s">
        <v>566</v>
      </c>
      <c r="D144" s="10" t="s">
        <v>682</v>
      </c>
      <c r="E144" s="10" t="s">
        <v>2054</v>
      </c>
      <c r="F144" s="10" t="s">
        <v>2055</v>
      </c>
      <c r="G144" s="10"/>
    </row>
    <row r="145" spans="1:7" ht="26.4" x14ac:dyDescent="0.3">
      <c r="A145" s="23" t="s">
        <v>681</v>
      </c>
      <c r="B145" s="24">
        <v>8</v>
      </c>
      <c r="C145" s="10" t="s">
        <v>566</v>
      </c>
      <c r="D145" s="10" t="s">
        <v>682</v>
      </c>
      <c r="E145" s="10" t="s">
        <v>2056</v>
      </c>
      <c r="F145" s="10"/>
      <c r="G145" s="10"/>
    </row>
    <row r="146" spans="1:7" ht="26.4" x14ac:dyDescent="0.3">
      <c r="A146" s="23" t="s">
        <v>681</v>
      </c>
      <c r="B146" s="24">
        <v>8</v>
      </c>
      <c r="C146" s="10" t="s">
        <v>566</v>
      </c>
      <c r="D146" s="10" t="s">
        <v>682</v>
      </c>
      <c r="E146" s="10" t="s">
        <v>2057</v>
      </c>
      <c r="F146" s="10" t="s">
        <v>1906</v>
      </c>
      <c r="G146" s="10"/>
    </row>
    <row r="147" spans="1:7" x14ac:dyDescent="0.3">
      <c r="A147" s="25" t="s">
        <v>689</v>
      </c>
      <c r="B147" s="26">
        <v>9</v>
      </c>
      <c r="C147" s="10" t="s">
        <v>690</v>
      </c>
      <c r="D147" s="10" t="s">
        <v>691</v>
      </c>
      <c r="E147" s="10" t="s">
        <v>2058</v>
      </c>
      <c r="F147" s="10" t="s">
        <v>1984</v>
      </c>
      <c r="G147" s="10"/>
    </row>
    <row r="148" spans="1:7" x14ac:dyDescent="0.3">
      <c r="A148" s="25" t="s">
        <v>689</v>
      </c>
      <c r="B148" s="26">
        <v>9</v>
      </c>
      <c r="C148" s="10" t="s">
        <v>690</v>
      </c>
      <c r="D148" s="10" t="s">
        <v>691</v>
      </c>
      <c r="E148" s="10" t="s">
        <v>2059</v>
      </c>
      <c r="F148" s="10"/>
      <c r="G148" s="10"/>
    </row>
    <row r="149" spans="1:7" x14ac:dyDescent="0.3">
      <c r="A149" s="25" t="s">
        <v>695</v>
      </c>
      <c r="B149" s="26">
        <v>9</v>
      </c>
      <c r="C149" s="10" t="s">
        <v>690</v>
      </c>
      <c r="D149" s="10" t="s">
        <v>696</v>
      </c>
      <c r="E149" s="10" t="s">
        <v>2060</v>
      </c>
      <c r="F149" s="10" t="s">
        <v>2061</v>
      </c>
      <c r="G149" s="10"/>
    </row>
    <row r="150" spans="1:7" x14ac:dyDescent="0.3">
      <c r="A150" s="25" t="s">
        <v>695</v>
      </c>
      <c r="B150" s="26">
        <v>9</v>
      </c>
      <c r="C150" s="10" t="s">
        <v>690</v>
      </c>
      <c r="D150" s="10" t="s">
        <v>696</v>
      </c>
      <c r="E150" s="10" t="s">
        <v>2062</v>
      </c>
      <c r="F150" s="10"/>
      <c r="G150" s="10"/>
    </row>
    <row r="151" spans="1:7" x14ac:dyDescent="0.3">
      <c r="A151" s="25" t="s">
        <v>695</v>
      </c>
      <c r="B151" s="26">
        <v>9</v>
      </c>
      <c r="C151" s="10" t="s">
        <v>690</v>
      </c>
      <c r="D151" s="10" t="s">
        <v>696</v>
      </c>
      <c r="E151" s="10" t="s">
        <v>2063</v>
      </c>
      <c r="F151" s="10" t="s">
        <v>2064</v>
      </c>
      <c r="G151" s="10"/>
    </row>
    <row r="152" spans="1:7" x14ac:dyDescent="0.3">
      <c r="A152" s="25" t="s">
        <v>695</v>
      </c>
      <c r="B152" s="26">
        <v>9</v>
      </c>
      <c r="C152" s="10" t="s">
        <v>690</v>
      </c>
      <c r="D152" s="10" t="s">
        <v>696</v>
      </c>
      <c r="E152" s="10" t="s">
        <v>2065</v>
      </c>
      <c r="F152" s="10" t="s">
        <v>2066</v>
      </c>
      <c r="G152" s="10"/>
    </row>
    <row r="153" spans="1:7" ht="26.4" x14ac:dyDescent="0.3">
      <c r="A153" s="25" t="s">
        <v>695</v>
      </c>
      <c r="B153" s="26">
        <v>9</v>
      </c>
      <c r="C153" s="10" t="s">
        <v>690</v>
      </c>
      <c r="D153" s="10" t="s">
        <v>696</v>
      </c>
      <c r="E153" s="10" t="s">
        <v>2067</v>
      </c>
      <c r="F153" s="10" t="s">
        <v>2068</v>
      </c>
      <c r="G153" s="10"/>
    </row>
    <row r="154" spans="1:7" ht="26.4" x14ac:dyDescent="0.3">
      <c r="A154" s="25" t="s">
        <v>702</v>
      </c>
      <c r="B154" s="26">
        <v>9</v>
      </c>
      <c r="C154" s="10" t="s">
        <v>690</v>
      </c>
      <c r="D154" s="10" t="s">
        <v>703</v>
      </c>
      <c r="E154" s="10" t="s">
        <v>2069</v>
      </c>
      <c r="F154" s="10" t="s">
        <v>2070</v>
      </c>
      <c r="G154" s="10"/>
    </row>
    <row r="155" spans="1:7" x14ac:dyDescent="0.3">
      <c r="A155" s="25" t="s">
        <v>702</v>
      </c>
      <c r="B155" s="26">
        <v>9</v>
      </c>
      <c r="C155" s="10" t="s">
        <v>690</v>
      </c>
      <c r="D155" s="10" t="s">
        <v>703</v>
      </c>
      <c r="E155" s="10" t="s">
        <v>2071</v>
      </c>
      <c r="F155" s="10" t="s">
        <v>2072</v>
      </c>
      <c r="G155" s="10"/>
    </row>
    <row r="156" spans="1:7" x14ac:dyDescent="0.3">
      <c r="A156" s="25" t="s">
        <v>709</v>
      </c>
      <c r="B156" s="26">
        <v>9</v>
      </c>
      <c r="C156" s="10" t="s">
        <v>690</v>
      </c>
      <c r="D156" s="10" t="s">
        <v>710</v>
      </c>
      <c r="E156" s="10" t="s">
        <v>2073</v>
      </c>
      <c r="F156" s="10" t="s">
        <v>2074</v>
      </c>
      <c r="G156" s="10"/>
    </row>
    <row r="157" spans="1:7" x14ac:dyDescent="0.3">
      <c r="A157" s="25" t="s">
        <v>709</v>
      </c>
      <c r="B157" s="26">
        <v>9</v>
      </c>
      <c r="C157" s="10" t="s">
        <v>690</v>
      </c>
      <c r="D157" s="10" t="s">
        <v>710</v>
      </c>
      <c r="E157" s="10" t="s">
        <v>2075</v>
      </c>
      <c r="F157" s="10" t="s">
        <v>2076</v>
      </c>
      <c r="G157" s="10"/>
    </row>
    <row r="158" spans="1:7" x14ac:dyDescent="0.3">
      <c r="A158" s="25" t="s">
        <v>717</v>
      </c>
      <c r="B158" s="26">
        <v>9</v>
      </c>
      <c r="C158" s="10" t="s">
        <v>690</v>
      </c>
      <c r="D158" s="10" t="s">
        <v>718</v>
      </c>
      <c r="E158" s="10" t="s">
        <v>2077</v>
      </c>
      <c r="F158" s="10" t="s">
        <v>2078</v>
      </c>
      <c r="G158" s="10"/>
    </row>
    <row r="159" spans="1:7" x14ac:dyDescent="0.3">
      <c r="A159" s="25" t="s">
        <v>717</v>
      </c>
      <c r="B159" s="26">
        <v>9</v>
      </c>
      <c r="C159" s="10" t="s">
        <v>690</v>
      </c>
      <c r="D159" s="10" t="s">
        <v>718</v>
      </c>
      <c r="E159" s="10" t="s">
        <v>2079</v>
      </c>
      <c r="F159" s="10" t="s">
        <v>2080</v>
      </c>
      <c r="G159" s="10"/>
    </row>
    <row r="160" spans="1:7" ht="26.4" x14ac:dyDescent="0.3">
      <c r="A160" s="25" t="s">
        <v>717</v>
      </c>
      <c r="B160" s="26">
        <v>9</v>
      </c>
      <c r="C160" s="10" t="s">
        <v>690</v>
      </c>
      <c r="D160" s="10" t="s">
        <v>718</v>
      </c>
      <c r="E160" s="10" t="s">
        <v>2081</v>
      </c>
      <c r="F160" s="10"/>
      <c r="G160" s="10"/>
    </row>
    <row r="161" spans="1:7" ht="26.4" x14ac:dyDescent="0.3">
      <c r="A161" s="25" t="s">
        <v>733</v>
      </c>
      <c r="B161" s="26">
        <v>9</v>
      </c>
      <c r="C161" s="10" t="s">
        <v>734</v>
      </c>
      <c r="D161" s="10" t="s">
        <v>735</v>
      </c>
      <c r="E161" s="10" t="s">
        <v>2082</v>
      </c>
      <c r="F161" s="10" t="s">
        <v>2083</v>
      </c>
      <c r="G161" s="10"/>
    </row>
    <row r="162" spans="1:7" ht="26.4" x14ac:dyDescent="0.3">
      <c r="A162" s="25" t="s">
        <v>733</v>
      </c>
      <c r="B162" s="26">
        <v>9</v>
      </c>
      <c r="C162" s="10" t="s">
        <v>734</v>
      </c>
      <c r="D162" s="10" t="s">
        <v>735</v>
      </c>
      <c r="E162" s="10" t="s">
        <v>2084</v>
      </c>
      <c r="F162" s="10" t="s">
        <v>2085</v>
      </c>
      <c r="G162" s="10"/>
    </row>
    <row r="163" spans="1:7" ht="26.4" x14ac:dyDescent="0.3">
      <c r="A163" s="25" t="s">
        <v>733</v>
      </c>
      <c r="B163" s="26">
        <v>9</v>
      </c>
      <c r="C163" s="10" t="s">
        <v>734</v>
      </c>
      <c r="D163" s="10" t="s">
        <v>735</v>
      </c>
      <c r="E163" s="10" t="s">
        <v>2086</v>
      </c>
      <c r="F163" s="10"/>
      <c r="G163" s="10"/>
    </row>
    <row r="164" spans="1:7" ht="26.4" x14ac:dyDescent="0.3">
      <c r="A164" s="25" t="s">
        <v>733</v>
      </c>
      <c r="B164" s="26">
        <v>9</v>
      </c>
      <c r="C164" s="10" t="s">
        <v>734</v>
      </c>
      <c r="D164" s="10" t="s">
        <v>735</v>
      </c>
      <c r="E164" s="10" t="s">
        <v>2087</v>
      </c>
      <c r="F164" s="10"/>
      <c r="G164" s="10"/>
    </row>
    <row r="165" spans="1:7" ht="26.4" x14ac:dyDescent="0.3">
      <c r="A165" s="25" t="s">
        <v>733</v>
      </c>
      <c r="B165" s="26">
        <v>9</v>
      </c>
      <c r="C165" s="10" t="s">
        <v>734</v>
      </c>
      <c r="D165" s="10" t="s">
        <v>735</v>
      </c>
      <c r="E165" s="10" t="s">
        <v>2088</v>
      </c>
      <c r="F165" s="10" t="s">
        <v>2022</v>
      </c>
      <c r="G165" s="10"/>
    </row>
    <row r="166" spans="1:7" x14ac:dyDescent="0.3">
      <c r="A166" s="25" t="s">
        <v>747</v>
      </c>
      <c r="B166" s="26">
        <v>9</v>
      </c>
      <c r="C166" s="10" t="s">
        <v>734</v>
      </c>
      <c r="D166" s="10" t="s">
        <v>748</v>
      </c>
      <c r="E166" s="10" t="s">
        <v>2089</v>
      </c>
      <c r="F166" s="10" t="s">
        <v>2090</v>
      </c>
      <c r="G166" s="10"/>
    </row>
    <row r="167" spans="1:7" x14ac:dyDescent="0.3">
      <c r="A167" s="25" t="s">
        <v>747</v>
      </c>
      <c r="B167" s="26">
        <v>9</v>
      </c>
      <c r="C167" s="10" t="s">
        <v>734</v>
      </c>
      <c r="D167" s="10" t="s">
        <v>748</v>
      </c>
      <c r="E167" s="10" t="s">
        <v>2091</v>
      </c>
      <c r="F167" s="10" t="s">
        <v>2092</v>
      </c>
      <c r="G167" s="10"/>
    </row>
    <row r="168" spans="1:7" x14ac:dyDescent="0.3">
      <c r="A168" s="25" t="s">
        <v>747</v>
      </c>
      <c r="B168" s="26">
        <v>9</v>
      </c>
      <c r="C168" s="10" t="s">
        <v>734</v>
      </c>
      <c r="D168" s="10" t="s">
        <v>748</v>
      </c>
      <c r="E168" s="10" t="s">
        <v>2093</v>
      </c>
      <c r="F168" s="10" t="s">
        <v>2094</v>
      </c>
      <c r="G168" s="10"/>
    </row>
    <row r="169" spans="1:7" x14ac:dyDescent="0.3">
      <c r="A169" s="25" t="s">
        <v>753</v>
      </c>
      <c r="B169" s="26">
        <v>9</v>
      </c>
      <c r="C169" s="10" t="s">
        <v>734</v>
      </c>
      <c r="D169" s="10" t="s">
        <v>754</v>
      </c>
      <c r="E169" s="10" t="s">
        <v>2095</v>
      </c>
      <c r="F169" s="10" t="s">
        <v>2092</v>
      </c>
      <c r="G169" s="10"/>
    </row>
    <row r="170" spans="1:7" x14ac:dyDescent="0.3">
      <c r="A170" s="25" t="s">
        <v>753</v>
      </c>
      <c r="B170" s="26">
        <v>9</v>
      </c>
      <c r="C170" s="10" t="s">
        <v>734</v>
      </c>
      <c r="D170" s="10" t="s">
        <v>754</v>
      </c>
      <c r="E170" s="10" t="s">
        <v>2096</v>
      </c>
      <c r="F170" s="10" t="s">
        <v>2097</v>
      </c>
      <c r="G170" s="10"/>
    </row>
    <row r="171" spans="1:7" x14ac:dyDescent="0.3">
      <c r="A171" s="25" t="s">
        <v>753</v>
      </c>
      <c r="B171" s="26">
        <v>9</v>
      </c>
      <c r="C171" s="10" t="s">
        <v>734</v>
      </c>
      <c r="D171" s="10" t="s">
        <v>754</v>
      </c>
      <c r="E171" s="10" t="s">
        <v>2098</v>
      </c>
      <c r="F171" s="10" t="s">
        <v>2099</v>
      </c>
      <c r="G171" s="10"/>
    </row>
    <row r="172" spans="1:7" x14ac:dyDescent="0.3">
      <c r="A172" s="25" t="s">
        <v>753</v>
      </c>
      <c r="B172" s="26">
        <v>9</v>
      </c>
      <c r="C172" s="10" t="s">
        <v>734</v>
      </c>
      <c r="D172" s="10" t="s">
        <v>754</v>
      </c>
      <c r="E172" s="10" t="s">
        <v>2082</v>
      </c>
      <c r="F172" s="10"/>
      <c r="G172" s="10"/>
    </row>
    <row r="173" spans="1:7" x14ac:dyDescent="0.3">
      <c r="A173" s="25" t="s">
        <v>753</v>
      </c>
      <c r="B173" s="26">
        <v>9</v>
      </c>
      <c r="C173" s="10" t="s">
        <v>734</v>
      </c>
      <c r="D173" s="10" t="s">
        <v>754</v>
      </c>
      <c r="E173" s="10" t="s">
        <v>2086</v>
      </c>
      <c r="F173" s="10"/>
      <c r="G173" s="10"/>
    </row>
    <row r="174" spans="1:7" x14ac:dyDescent="0.3">
      <c r="A174" s="25" t="s">
        <v>753</v>
      </c>
      <c r="B174" s="26">
        <v>9</v>
      </c>
      <c r="C174" s="10" t="s">
        <v>734</v>
      </c>
      <c r="D174" s="10" t="s">
        <v>754</v>
      </c>
      <c r="E174" s="10" t="s">
        <v>2100</v>
      </c>
      <c r="F174" s="10" t="s">
        <v>2022</v>
      </c>
      <c r="G174" s="10"/>
    </row>
    <row r="175" spans="1:7" x14ac:dyDescent="0.3">
      <c r="A175" s="25" t="s">
        <v>760</v>
      </c>
      <c r="B175" s="26">
        <v>9</v>
      </c>
      <c r="C175" s="10" t="s">
        <v>734</v>
      </c>
      <c r="D175" s="10" t="s">
        <v>762</v>
      </c>
      <c r="E175" s="10" t="s">
        <v>2101</v>
      </c>
      <c r="F175" s="10" t="s">
        <v>2102</v>
      </c>
      <c r="G175" s="10"/>
    </row>
    <row r="176" spans="1:7" x14ac:dyDescent="0.3">
      <c r="A176" s="25" t="s">
        <v>760</v>
      </c>
      <c r="B176" s="26">
        <v>9</v>
      </c>
      <c r="C176" s="10" t="s">
        <v>734</v>
      </c>
      <c r="D176" s="10" t="s">
        <v>762</v>
      </c>
      <c r="E176" s="10" t="s">
        <v>2103</v>
      </c>
      <c r="F176" s="10" t="s">
        <v>2104</v>
      </c>
      <c r="G176" s="10"/>
    </row>
    <row r="177" spans="1:7" x14ac:dyDescent="0.3">
      <c r="A177" s="25" t="s">
        <v>760</v>
      </c>
      <c r="B177" s="26">
        <v>9</v>
      </c>
      <c r="C177" s="10" t="s">
        <v>734</v>
      </c>
      <c r="D177" s="10" t="s">
        <v>762</v>
      </c>
      <c r="E177" s="10" t="s">
        <v>2105</v>
      </c>
      <c r="F177" s="10" t="s">
        <v>2106</v>
      </c>
      <c r="G177" s="10"/>
    </row>
    <row r="178" spans="1:7" x14ac:dyDescent="0.3">
      <c r="A178" s="25" t="s">
        <v>760</v>
      </c>
      <c r="B178" s="26">
        <v>9</v>
      </c>
      <c r="C178" s="10" t="s">
        <v>734</v>
      </c>
      <c r="D178" s="10" t="s">
        <v>762</v>
      </c>
      <c r="E178" s="10" t="s">
        <v>2107</v>
      </c>
      <c r="F178" s="10"/>
      <c r="G178" s="10"/>
    </row>
    <row r="179" spans="1:7" x14ac:dyDescent="0.3">
      <c r="A179" s="25" t="s">
        <v>768</v>
      </c>
      <c r="B179" s="26">
        <v>9</v>
      </c>
      <c r="C179" s="10" t="s">
        <v>734</v>
      </c>
      <c r="D179" s="10" t="s">
        <v>769</v>
      </c>
      <c r="E179" s="10" t="s">
        <v>2108</v>
      </c>
      <c r="F179" s="10" t="s">
        <v>2109</v>
      </c>
      <c r="G179" s="10"/>
    </row>
    <row r="180" spans="1:7" x14ac:dyDescent="0.3">
      <c r="A180" s="25" t="s">
        <v>768</v>
      </c>
      <c r="B180" s="26">
        <v>9</v>
      </c>
      <c r="C180" s="10" t="s">
        <v>734</v>
      </c>
      <c r="D180" s="10" t="s">
        <v>769</v>
      </c>
      <c r="E180" s="10" t="s">
        <v>2110</v>
      </c>
      <c r="F180" s="10"/>
      <c r="G180" s="10"/>
    </row>
    <row r="181" spans="1:7" x14ac:dyDescent="0.3">
      <c r="A181" s="25" t="s">
        <v>774</v>
      </c>
      <c r="B181" s="26">
        <v>9</v>
      </c>
      <c r="C181" s="10" t="s">
        <v>734</v>
      </c>
      <c r="D181" s="10" t="s">
        <v>775</v>
      </c>
      <c r="E181" s="10" t="s">
        <v>2111</v>
      </c>
      <c r="F181" s="10" t="s">
        <v>2092</v>
      </c>
      <c r="G181" s="10"/>
    </row>
    <row r="182" spans="1:7" x14ac:dyDescent="0.3">
      <c r="A182" s="25" t="s">
        <v>774</v>
      </c>
      <c r="B182" s="26">
        <v>9</v>
      </c>
      <c r="C182" s="10" t="s">
        <v>734</v>
      </c>
      <c r="D182" s="10" t="s">
        <v>775</v>
      </c>
      <c r="E182" s="10" t="s">
        <v>2112</v>
      </c>
      <c r="F182" s="10" t="s">
        <v>2078</v>
      </c>
      <c r="G182" s="10"/>
    </row>
    <row r="183" spans="1:7" x14ac:dyDescent="0.3">
      <c r="A183" s="25" t="s">
        <v>774</v>
      </c>
      <c r="B183" s="26">
        <v>9</v>
      </c>
      <c r="C183" s="10" t="s">
        <v>734</v>
      </c>
      <c r="D183" s="10" t="s">
        <v>775</v>
      </c>
      <c r="E183" s="10" t="s">
        <v>2113</v>
      </c>
      <c r="F183" s="10" t="s">
        <v>2078</v>
      </c>
      <c r="G183" s="10"/>
    </row>
    <row r="184" spans="1:7" x14ac:dyDescent="0.3">
      <c r="A184" s="25" t="s">
        <v>774</v>
      </c>
      <c r="B184" s="26">
        <v>9</v>
      </c>
      <c r="C184" s="10" t="s">
        <v>734</v>
      </c>
      <c r="D184" s="10" t="s">
        <v>775</v>
      </c>
      <c r="E184" s="10" t="s">
        <v>2114</v>
      </c>
      <c r="F184" s="10"/>
      <c r="G184" s="10"/>
    </row>
    <row r="185" spans="1:7" x14ac:dyDescent="0.3">
      <c r="A185" s="25" t="s">
        <v>781</v>
      </c>
      <c r="B185" s="26">
        <v>9</v>
      </c>
      <c r="C185" s="10" t="s">
        <v>734</v>
      </c>
      <c r="D185" s="10" t="s">
        <v>782</v>
      </c>
      <c r="E185" s="10" t="s">
        <v>2115</v>
      </c>
      <c r="F185" s="10" t="s">
        <v>2116</v>
      </c>
      <c r="G185" s="10"/>
    </row>
    <row r="186" spans="1:7" x14ac:dyDescent="0.3">
      <c r="A186" s="25" t="s">
        <v>781</v>
      </c>
      <c r="B186" s="26">
        <v>9</v>
      </c>
      <c r="C186" s="10" t="s">
        <v>734</v>
      </c>
      <c r="D186" s="10" t="s">
        <v>782</v>
      </c>
      <c r="E186" s="10" t="s">
        <v>2117</v>
      </c>
      <c r="F186" s="10" t="s">
        <v>2090</v>
      </c>
      <c r="G186" s="10"/>
    </row>
    <row r="187" spans="1:7" x14ac:dyDescent="0.3">
      <c r="A187" s="25" t="s">
        <v>781</v>
      </c>
      <c r="B187" s="26">
        <v>9</v>
      </c>
      <c r="C187" s="10" t="s">
        <v>734</v>
      </c>
      <c r="D187" s="10" t="s">
        <v>782</v>
      </c>
      <c r="E187" s="10" t="s">
        <v>2118</v>
      </c>
      <c r="F187" s="10"/>
      <c r="G187" s="10"/>
    </row>
    <row r="188" spans="1:7" x14ac:dyDescent="0.3">
      <c r="A188" s="25" t="s">
        <v>793</v>
      </c>
      <c r="B188" s="26">
        <v>9</v>
      </c>
      <c r="C188" s="10" t="s">
        <v>788</v>
      </c>
      <c r="D188" s="10" t="s">
        <v>794</v>
      </c>
      <c r="E188" s="10" t="s">
        <v>2119</v>
      </c>
      <c r="F188" s="10" t="s">
        <v>2120</v>
      </c>
      <c r="G188" s="10"/>
    </row>
    <row r="189" spans="1:7" x14ac:dyDescent="0.3">
      <c r="A189" s="25" t="s">
        <v>793</v>
      </c>
      <c r="B189" s="26">
        <v>9</v>
      </c>
      <c r="C189" s="10" t="s">
        <v>788</v>
      </c>
      <c r="D189" s="10" t="s">
        <v>794</v>
      </c>
      <c r="E189" s="10" t="s">
        <v>2121</v>
      </c>
      <c r="F189" s="10" t="s">
        <v>2122</v>
      </c>
      <c r="G189" s="10"/>
    </row>
    <row r="190" spans="1:7" x14ac:dyDescent="0.3">
      <c r="A190" s="25" t="s">
        <v>793</v>
      </c>
      <c r="B190" s="26">
        <v>9</v>
      </c>
      <c r="C190" s="10" t="s">
        <v>788</v>
      </c>
      <c r="D190" s="10" t="s">
        <v>794</v>
      </c>
      <c r="E190" s="10" t="s">
        <v>2123</v>
      </c>
      <c r="F190" s="10"/>
      <c r="G190" s="10"/>
    </row>
    <row r="191" spans="1:7" x14ac:dyDescent="0.3">
      <c r="A191" s="25" t="s">
        <v>793</v>
      </c>
      <c r="B191" s="26">
        <v>9</v>
      </c>
      <c r="C191" s="10" t="s">
        <v>788</v>
      </c>
      <c r="D191" s="10" t="s">
        <v>794</v>
      </c>
      <c r="E191" s="10" t="s">
        <v>2051</v>
      </c>
      <c r="F191" s="10"/>
      <c r="G191" s="10"/>
    </row>
    <row r="192" spans="1:7" x14ac:dyDescent="0.3">
      <c r="A192" s="25" t="s">
        <v>663</v>
      </c>
      <c r="B192" s="26">
        <v>9</v>
      </c>
      <c r="C192" s="10" t="s">
        <v>788</v>
      </c>
      <c r="D192" s="10" t="s">
        <v>798</v>
      </c>
      <c r="E192" s="10" t="s">
        <v>2124</v>
      </c>
      <c r="F192" s="10" t="s">
        <v>2125</v>
      </c>
      <c r="G192" s="10"/>
    </row>
    <row r="193" spans="1:7" x14ac:dyDescent="0.3">
      <c r="A193" s="25" t="s">
        <v>663</v>
      </c>
      <c r="B193" s="26">
        <v>9</v>
      </c>
      <c r="C193" s="10" t="s">
        <v>788</v>
      </c>
      <c r="D193" s="10" t="s">
        <v>798</v>
      </c>
      <c r="E193" s="10" t="s">
        <v>2126</v>
      </c>
      <c r="F193" s="10" t="s">
        <v>2127</v>
      </c>
      <c r="G193" s="10"/>
    </row>
    <row r="194" spans="1:7" x14ac:dyDescent="0.3">
      <c r="A194" s="25" t="s">
        <v>663</v>
      </c>
      <c r="B194" s="26">
        <v>9</v>
      </c>
      <c r="C194" s="10" t="s">
        <v>788</v>
      </c>
      <c r="D194" s="10" t="s">
        <v>798</v>
      </c>
      <c r="E194" s="10" t="s">
        <v>2128</v>
      </c>
      <c r="F194" s="10" t="s">
        <v>2125</v>
      </c>
      <c r="G194" s="10"/>
    </row>
    <row r="195" spans="1:7" x14ac:dyDescent="0.3">
      <c r="A195" s="25" t="s">
        <v>803</v>
      </c>
      <c r="B195" s="26">
        <v>9</v>
      </c>
      <c r="C195" s="10" t="s">
        <v>788</v>
      </c>
      <c r="D195" s="10" t="s">
        <v>804</v>
      </c>
      <c r="E195" s="10" t="s">
        <v>2129</v>
      </c>
      <c r="F195" s="10" t="s">
        <v>2130</v>
      </c>
      <c r="G195" s="10"/>
    </row>
    <row r="196" spans="1:7" x14ac:dyDescent="0.3">
      <c r="A196" s="25" t="s">
        <v>803</v>
      </c>
      <c r="B196" s="26">
        <v>9</v>
      </c>
      <c r="C196" s="10" t="s">
        <v>788</v>
      </c>
      <c r="D196" s="10" t="s">
        <v>804</v>
      </c>
      <c r="E196" s="10" t="s">
        <v>2131</v>
      </c>
      <c r="F196" s="10"/>
      <c r="G196" s="10"/>
    </row>
    <row r="197" spans="1:7" x14ac:dyDescent="0.3">
      <c r="A197" s="25" t="s">
        <v>803</v>
      </c>
      <c r="B197" s="26">
        <v>9</v>
      </c>
      <c r="C197" s="10" t="s">
        <v>788</v>
      </c>
      <c r="D197" s="10" t="s">
        <v>804</v>
      </c>
      <c r="E197" s="10" t="s">
        <v>2132</v>
      </c>
      <c r="F197" s="10" t="s">
        <v>2133</v>
      </c>
      <c r="G197" s="10"/>
    </row>
    <row r="198" spans="1:7" x14ac:dyDescent="0.3">
      <c r="A198" s="25" t="s">
        <v>803</v>
      </c>
      <c r="B198" s="26">
        <v>9</v>
      </c>
      <c r="C198" s="10" t="s">
        <v>788</v>
      </c>
      <c r="D198" s="10" t="s">
        <v>804</v>
      </c>
      <c r="E198" s="10" t="s">
        <v>1834</v>
      </c>
      <c r="F198" s="10" t="s">
        <v>2134</v>
      </c>
      <c r="G198" s="10"/>
    </row>
    <row r="199" spans="1:7" x14ac:dyDescent="0.3">
      <c r="A199" s="25" t="s">
        <v>812</v>
      </c>
      <c r="B199" s="26">
        <v>9</v>
      </c>
      <c r="C199" s="10" t="s">
        <v>788</v>
      </c>
      <c r="D199" s="10" t="s">
        <v>814</v>
      </c>
      <c r="E199" s="10" t="s">
        <v>2135</v>
      </c>
      <c r="F199" s="10" t="s">
        <v>2136</v>
      </c>
      <c r="G199" s="10"/>
    </row>
    <row r="200" spans="1:7" x14ac:dyDescent="0.3">
      <c r="A200" s="25" t="s">
        <v>812</v>
      </c>
      <c r="B200" s="26">
        <v>9</v>
      </c>
      <c r="C200" s="10" t="s">
        <v>788</v>
      </c>
      <c r="D200" s="10" t="s">
        <v>814</v>
      </c>
      <c r="E200" s="10" t="s">
        <v>2137</v>
      </c>
      <c r="F200" s="10" t="s">
        <v>2138</v>
      </c>
      <c r="G200" s="10"/>
    </row>
    <row r="201" spans="1:7" x14ac:dyDescent="0.3">
      <c r="A201" s="25" t="s">
        <v>872</v>
      </c>
      <c r="B201" s="26">
        <v>9</v>
      </c>
      <c r="C201" s="10" t="s">
        <v>831</v>
      </c>
      <c r="D201" s="10" t="s">
        <v>873</v>
      </c>
      <c r="E201" s="10" t="s">
        <v>2139</v>
      </c>
      <c r="F201" s="10" t="s">
        <v>2140</v>
      </c>
      <c r="G201" s="10"/>
    </row>
    <row r="202" spans="1:7" x14ac:dyDescent="0.3">
      <c r="A202" s="25" t="s">
        <v>872</v>
      </c>
      <c r="B202" s="26">
        <v>9</v>
      </c>
      <c r="C202" s="10" t="s">
        <v>831</v>
      </c>
      <c r="D202" s="10" t="s">
        <v>873</v>
      </c>
      <c r="E202" s="10" t="s">
        <v>2141</v>
      </c>
      <c r="F202" s="10" t="s">
        <v>2142</v>
      </c>
      <c r="G202" s="10"/>
    </row>
    <row r="203" spans="1:7" x14ac:dyDescent="0.3">
      <c r="A203" s="25" t="s">
        <v>872</v>
      </c>
      <c r="B203" s="26">
        <v>9</v>
      </c>
      <c r="C203" s="10" t="s">
        <v>831</v>
      </c>
      <c r="D203" s="10" t="s">
        <v>873</v>
      </c>
      <c r="E203" s="10" t="s">
        <v>2143</v>
      </c>
      <c r="F203" s="10"/>
      <c r="G203" s="10"/>
    </row>
    <row r="204" spans="1:7" x14ac:dyDescent="0.3">
      <c r="A204" s="25" t="s">
        <v>888</v>
      </c>
      <c r="B204" s="26">
        <v>9</v>
      </c>
      <c r="C204" s="10" t="s">
        <v>881</v>
      </c>
      <c r="D204" s="10" t="s">
        <v>889</v>
      </c>
      <c r="E204" s="10" t="s">
        <v>2144</v>
      </c>
      <c r="F204" s="10" t="s">
        <v>2145</v>
      </c>
      <c r="G204" s="10"/>
    </row>
    <row r="205" spans="1:7" x14ac:dyDescent="0.3">
      <c r="A205" s="25" t="s">
        <v>895</v>
      </c>
      <c r="B205" s="26">
        <v>9</v>
      </c>
      <c r="C205" s="10" t="s">
        <v>881</v>
      </c>
      <c r="D205" s="10" t="s">
        <v>896</v>
      </c>
      <c r="E205" s="10" t="s">
        <v>2146</v>
      </c>
      <c r="F205" s="10" t="s">
        <v>2147</v>
      </c>
      <c r="G205" s="10"/>
    </row>
    <row r="206" spans="1:7" x14ac:dyDescent="0.3">
      <c r="A206" s="25" t="s">
        <v>895</v>
      </c>
      <c r="B206" s="26">
        <v>9</v>
      </c>
      <c r="C206" s="10" t="s">
        <v>881</v>
      </c>
      <c r="D206" s="10" t="s">
        <v>896</v>
      </c>
      <c r="E206" s="10" t="s">
        <v>2148</v>
      </c>
      <c r="F206" s="10" t="s">
        <v>2149</v>
      </c>
      <c r="G206" s="10"/>
    </row>
    <row r="207" spans="1:7" x14ac:dyDescent="0.3">
      <c r="A207" s="25" t="s">
        <v>895</v>
      </c>
      <c r="B207" s="26">
        <v>9</v>
      </c>
      <c r="C207" s="10" t="s">
        <v>881</v>
      </c>
      <c r="D207" s="10" t="s">
        <v>896</v>
      </c>
      <c r="E207" s="10" t="s">
        <v>2150</v>
      </c>
      <c r="F207" s="10" t="s">
        <v>2151</v>
      </c>
      <c r="G207" s="10"/>
    </row>
    <row r="208" spans="1:7" x14ac:dyDescent="0.3">
      <c r="A208" s="25" t="s">
        <v>895</v>
      </c>
      <c r="B208" s="26">
        <v>9</v>
      </c>
      <c r="C208" s="10" t="s">
        <v>881</v>
      </c>
      <c r="D208" s="10" t="s">
        <v>896</v>
      </c>
      <c r="E208" s="10" t="s">
        <v>2152</v>
      </c>
      <c r="F208" s="10"/>
      <c r="G208" s="10"/>
    </row>
    <row r="209" spans="1:7" ht="26.4" x14ac:dyDescent="0.3">
      <c r="A209" s="25" t="s">
        <v>901</v>
      </c>
      <c r="B209" s="26">
        <v>9</v>
      </c>
      <c r="C209" s="10" t="s">
        <v>881</v>
      </c>
      <c r="D209" s="10" t="s">
        <v>903</v>
      </c>
      <c r="E209" s="10" t="s">
        <v>2153</v>
      </c>
      <c r="F209" s="10" t="s">
        <v>2154</v>
      </c>
      <c r="G209" s="10"/>
    </row>
    <row r="210" spans="1:7" x14ac:dyDescent="0.3">
      <c r="A210" s="25" t="s">
        <v>901</v>
      </c>
      <c r="B210" s="26">
        <v>9</v>
      </c>
      <c r="C210" s="10" t="s">
        <v>881</v>
      </c>
      <c r="D210" s="10" t="s">
        <v>903</v>
      </c>
      <c r="E210" s="10" t="s">
        <v>2155</v>
      </c>
      <c r="F210" s="10" t="s">
        <v>2156</v>
      </c>
      <c r="G210" s="10"/>
    </row>
    <row r="211" spans="1:7" x14ac:dyDescent="0.3">
      <c r="A211" s="25" t="s">
        <v>901</v>
      </c>
      <c r="B211" s="26">
        <v>9</v>
      </c>
      <c r="C211" s="10" t="s">
        <v>881</v>
      </c>
      <c r="D211" s="10" t="s">
        <v>903</v>
      </c>
      <c r="E211" s="10" t="s">
        <v>2157</v>
      </c>
      <c r="F211" s="10"/>
      <c r="G211" s="10"/>
    </row>
    <row r="212" spans="1:7" x14ac:dyDescent="0.3">
      <c r="A212" s="25" t="s">
        <v>918</v>
      </c>
      <c r="B212" s="26">
        <v>9</v>
      </c>
      <c r="C212" s="10" t="s">
        <v>881</v>
      </c>
      <c r="D212" s="10" t="s">
        <v>920</v>
      </c>
      <c r="E212" s="10" t="s">
        <v>2158</v>
      </c>
      <c r="F212" s="10" t="s">
        <v>2159</v>
      </c>
      <c r="G212" s="10"/>
    </row>
    <row r="213" spans="1:7" x14ac:dyDescent="0.3">
      <c r="A213" s="25" t="s">
        <v>918</v>
      </c>
      <c r="B213" s="26">
        <v>9</v>
      </c>
      <c r="C213" s="10" t="s">
        <v>881</v>
      </c>
      <c r="D213" s="10" t="s">
        <v>920</v>
      </c>
      <c r="E213" s="10" t="s">
        <v>2160</v>
      </c>
      <c r="F213" s="10" t="s">
        <v>2161</v>
      </c>
      <c r="G213" s="10"/>
    </row>
    <row r="214" spans="1:7" x14ac:dyDescent="0.3">
      <c r="A214" s="25" t="s">
        <v>918</v>
      </c>
      <c r="B214" s="26">
        <v>9</v>
      </c>
      <c r="C214" s="10" t="s">
        <v>881</v>
      </c>
      <c r="D214" s="10" t="s">
        <v>920</v>
      </c>
      <c r="E214" s="10" t="s">
        <v>2162</v>
      </c>
      <c r="F214" s="10" t="s">
        <v>2163</v>
      </c>
      <c r="G214" s="10"/>
    </row>
    <row r="215" spans="1:7" x14ac:dyDescent="0.3">
      <c r="A215" s="25" t="s">
        <v>926</v>
      </c>
      <c r="B215" s="26">
        <v>9</v>
      </c>
      <c r="C215" s="10" t="s">
        <v>881</v>
      </c>
      <c r="D215" s="10" t="s">
        <v>927</v>
      </c>
      <c r="E215" s="10" t="s">
        <v>2164</v>
      </c>
      <c r="F215" s="10" t="s">
        <v>2165</v>
      </c>
      <c r="G215" s="10"/>
    </row>
    <row r="216" spans="1:7" x14ac:dyDescent="0.3">
      <c r="A216" s="25" t="s">
        <v>932</v>
      </c>
      <c r="B216" s="26">
        <v>9</v>
      </c>
      <c r="C216" s="10" t="s">
        <v>881</v>
      </c>
      <c r="D216" s="10" t="s">
        <v>933</v>
      </c>
      <c r="E216" s="10" t="s">
        <v>2166</v>
      </c>
      <c r="F216" s="10" t="s">
        <v>2167</v>
      </c>
      <c r="G216" s="10"/>
    </row>
    <row r="217" spans="1:7" x14ac:dyDescent="0.3">
      <c r="A217" s="25" t="s">
        <v>932</v>
      </c>
      <c r="B217" s="26">
        <v>9</v>
      </c>
      <c r="C217" s="10" t="s">
        <v>881</v>
      </c>
      <c r="D217" s="10" t="s">
        <v>933</v>
      </c>
      <c r="E217" s="10" t="s">
        <v>2168</v>
      </c>
      <c r="F217" s="10" t="s">
        <v>2169</v>
      </c>
      <c r="G217" s="10"/>
    </row>
    <row r="218" spans="1:7" x14ac:dyDescent="0.3">
      <c r="A218" s="25" t="s">
        <v>932</v>
      </c>
      <c r="B218" s="26">
        <v>9</v>
      </c>
      <c r="C218" s="10" t="s">
        <v>881</v>
      </c>
      <c r="D218" s="10" t="s">
        <v>933</v>
      </c>
      <c r="E218" s="10" t="s">
        <v>2164</v>
      </c>
      <c r="F218" s="10"/>
      <c r="G218" s="10"/>
    </row>
    <row r="219" spans="1:7" x14ac:dyDescent="0.3">
      <c r="A219" s="25" t="s">
        <v>950</v>
      </c>
      <c r="B219" s="26">
        <v>9</v>
      </c>
      <c r="C219" s="10" t="s">
        <v>881</v>
      </c>
      <c r="D219" s="10" t="s">
        <v>951</v>
      </c>
      <c r="E219" s="10" t="s">
        <v>2170</v>
      </c>
      <c r="F219" s="10" t="s">
        <v>2171</v>
      </c>
      <c r="G219" s="10"/>
    </row>
    <row r="220" spans="1:7" x14ac:dyDescent="0.3">
      <c r="A220" s="25" t="s">
        <v>950</v>
      </c>
      <c r="B220" s="26">
        <v>9</v>
      </c>
      <c r="C220" s="10" t="s">
        <v>881</v>
      </c>
      <c r="D220" s="10" t="s">
        <v>951</v>
      </c>
      <c r="E220" s="10" t="s">
        <v>2172</v>
      </c>
      <c r="F220" s="10" t="s">
        <v>2173</v>
      </c>
      <c r="G220" s="10"/>
    </row>
    <row r="221" spans="1:7" x14ac:dyDescent="0.3">
      <c r="A221" s="25" t="s">
        <v>950</v>
      </c>
      <c r="B221" s="26">
        <v>9</v>
      </c>
      <c r="C221" s="10" t="s">
        <v>881</v>
      </c>
      <c r="D221" s="10" t="s">
        <v>951</v>
      </c>
      <c r="E221" s="10" t="s">
        <v>2174</v>
      </c>
      <c r="F221" s="10"/>
      <c r="G221" s="10"/>
    </row>
    <row r="222" spans="1:7" x14ac:dyDescent="0.3">
      <c r="A222" s="25" t="s">
        <v>956</v>
      </c>
      <c r="B222" s="26">
        <v>9</v>
      </c>
      <c r="C222" s="10" t="s">
        <v>881</v>
      </c>
      <c r="D222" s="10" t="s">
        <v>957</v>
      </c>
      <c r="E222" s="10" t="s">
        <v>2175</v>
      </c>
      <c r="F222" s="10" t="s">
        <v>2176</v>
      </c>
      <c r="G222" s="10"/>
    </row>
    <row r="223" spans="1:7" x14ac:dyDescent="0.3">
      <c r="A223" s="25" t="s">
        <v>956</v>
      </c>
      <c r="B223" s="26">
        <v>9</v>
      </c>
      <c r="C223" s="10" t="s">
        <v>881</v>
      </c>
      <c r="D223" s="10" t="s">
        <v>957</v>
      </c>
      <c r="E223" s="10" t="s">
        <v>2177</v>
      </c>
      <c r="F223" s="10" t="s">
        <v>2178</v>
      </c>
      <c r="G223" s="10"/>
    </row>
    <row r="224" spans="1:7" x14ac:dyDescent="0.3">
      <c r="A224" s="25" t="s">
        <v>956</v>
      </c>
      <c r="B224" s="26">
        <v>9</v>
      </c>
      <c r="C224" s="10" t="s">
        <v>881</v>
      </c>
      <c r="D224" s="10" t="s">
        <v>957</v>
      </c>
      <c r="E224" s="10" t="s">
        <v>2179</v>
      </c>
      <c r="F224" s="10" t="s">
        <v>2180</v>
      </c>
      <c r="G224" s="10"/>
    </row>
    <row r="225" spans="1:7" x14ac:dyDescent="0.3">
      <c r="A225" s="25" t="s">
        <v>956</v>
      </c>
      <c r="B225" s="26">
        <v>9</v>
      </c>
      <c r="C225" s="10" t="s">
        <v>881</v>
      </c>
      <c r="D225" s="10" t="s">
        <v>957</v>
      </c>
      <c r="E225" s="10" t="s">
        <v>2181</v>
      </c>
      <c r="F225" s="10" t="s">
        <v>2182</v>
      </c>
      <c r="G225" s="10"/>
    </row>
    <row r="226" spans="1:7" x14ac:dyDescent="0.3">
      <c r="A226" s="25" t="s">
        <v>956</v>
      </c>
      <c r="B226" s="26">
        <v>9</v>
      </c>
      <c r="C226" s="10" t="s">
        <v>881</v>
      </c>
      <c r="D226" s="10" t="s">
        <v>957</v>
      </c>
      <c r="E226" s="10" t="s">
        <v>2183</v>
      </c>
      <c r="F226" s="10"/>
      <c r="G226" s="10"/>
    </row>
    <row r="227" spans="1:7" x14ac:dyDescent="0.3">
      <c r="A227" s="25" t="s">
        <v>992</v>
      </c>
      <c r="B227" s="26">
        <v>9</v>
      </c>
      <c r="C227" s="10" t="s">
        <v>881</v>
      </c>
      <c r="D227" s="10" t="s">
        <v>993</v>
      </c>
      <c r="E227" s="10" t="s">
        <v>2166</v>
      </c>
      <c r="F227" s="10" t="s">
        <v>2184</v>
      </c>
      <c r="G227" s="10"/>
    </row>
    <row r="228" spans="1:7" x14ac:dyDescent="0.3">
      <c r="A228" s="25" t="s">
        <v>992</v>
      </c>
      <c r="B228" s="26">
        <v>9</v>
      </c>
      <c r="C228" s="10" t="s">
        <v>881</v>
      </c>
      <c r="D228" s="10" t="s">
        <v>993</v>
      </c>
      <c r="E228" s="10" t="s">
        <v>2185</v>
      </c>
      <c r="F228" s="10" t="s">
        <v>2186</v>
      </c>
      <c r="G228" s="10"/>
    </row>
    <row r="229" spans="1:7" x14ac:dyDescent="0.3">
      <c r="A229" s="25" t="s">
        <v>992</v>
      </c>
      <c r="B229" s="26">
        <v>9</v>
      </c>
      <c r="C229" s="10" t="s">
        <v>881</v>
      </c>
      <c r="D229" s="10" t="s">
        <v>993</v>
      </c>
      <c r="E229" s="10" t="s">
        <v>2187</v>
      </c>
      <c r="F229" s="10" t="s">
        <v>2188</v>
      </c>
      <c r="G229" s="10"/>
    </row>
    <row r="230" spans="1:7" x14ac:dyDescent="0.3">
      <c r="A230" s="25" t="s">
        <v>992</v>
      </c>
      <c r="B230" s="26">
        <v>9</v>
      </c>
      <c r="C230" s="10" t="s">
        <v>881</v>
      </c>
      <c r="D230" s="10" t="s">
        <v>993</v>
      </c>
      <c r="E230" s="10" t="s">
        <v>2189</v>
      </c>
      <c r="F230" s="10" t="s">
        <v>2190</v>
      </c>
      <c r="G230" s="10"/>
    </row>
    <row r="231" spans="1:7" x14ac:dyDescent="0.3">
      <c r="A231" s="27" t="s">
        <v>1001</v>
      </c>
      <c r="B231" s="28">
        <v>10</v>
      </c>
      <c r="C231" s="10" t="s">
        <v>1002</v>
      </c>
      <c r="D231" s="10" t="s">
        <v>1004</v>
      </c>
      <c r="E231" s="10" t="s">
        <v>2191</v>
      </c>
      <c r="F231" s="10" t="s">
        <v>2192</v>
      </c>
      <c r="G231" s="10"/>
    </row>
    <row r="232" spans="1:7" x14ac:dyDescent="0.3">
      <c r="A232" s="27" t="s">
        <v>1001</v>
      </c>
      <c r="B232" s="28">
        <v>10</v>
      </c>
      <c r="C232" s="10" t="s">
        <v>1002</v>
      </c>
      <c r="D232" s="10" t="s">
        <v>1004</v>
      </c>
      <c r="E232" s="10" t="s">
        <v>2193</v>
      </c>
      <c r="F232" s="10" t="s">
        <v>2194</v>
      </c>
      <c r="G232" s="10"/>
    </row>
    <row r="233" spans="1:7" x14ac:dyDescent="0.3">
      <c r="A233" s="27" t="s">
        <v>1001</v>
      </c>
      <c r="B233" s="28">
        <v>10</v>
      </c>
      <c r="C233" s="10" t="s">
        <v>1002</v>
      </c>
      <c r="D233" s="10" t="s">
        <v>1004</v>
      </c>
      <c r="E233" s="10" t="s">
        <v>2195</v>
      </c>
      <c r="F233" s="10"/>
      <c r="G233" s="10"/>
    </row>
    <row r="234" spans="1:7" x14ac:dyDescent="0.3">
      <c r="A234" s="27" t="s">
        <v>1001</v>
      </c>
      <c r="B234" s="28">
        <v>10</v>
      </c>
      <c r="C234" s="10" t="s">
        <v>1002</v>
      </c>
      <c r="D234" s="10" t="s">
        <v>1004</v>
      </c>
      <c r="E234" s="10" t="s">
        <v>2196</v>
      </c>
      <c r="F234" s="10" t="s">
        <v>2197</v>
      </c>
      <c r="G234" s="10"/>
    </row>
    <row r="235" spans="1:7" x14ac:dyDescent="0.3">
      <c r="A235" s="27" t="s">
        <v>404</v>
      </c>
      <c r="B235" s="28">
        <v>10</v>
      </c>
      <c r="C235" s="10" t="s">
        <v>1002</v>
      </c>
      <c r="D235" s="10" t="s">
        <v>1010</v>
      </c>
      <c r="E235" s="10" t="s">
        <v>1935</v>
      </c>
      <c r="F235" s="10" t="s">
        <v>2198</v>
      </c>
      <c r="G235" s="10"/>
    </row>
    <row r="236" spans="1:7" x14ac:dyDescent="0.3">
      <c r="A236" s="27" t="s">
        <v>404</v>
      </c>
      <c r="B236" s="28">
        <v>10</v>
      </c>
      <c r="C236" s="10" t="s">
        <v>1002</v>
      </c>
      <c r="D236" s="10" t="s">
        <v>1010</v>
      </c>
      <c r="E236" s="10" t="s">
        <v>1937</v>
      </c>
      <c r="F236" s="10"/>
      <c r="G236" s="10"/>
    </row>
    <row r="237" spans="1:7" ht="26.4" x14ac:dyDescent="0.3">
      <c r="A237" s="27" t="s">
        <v>421</v>
      </c>
      <c r="B237" s="28">
        <v>10</v>
      </c>
      <c r="C237" s="10" t="s">
        <v>1002</v>
      </c>
      <c r="D237" s="10" t="s">
        <v>1014</v>
      </c>
      <c r="E237" s="10" t="s">
        <v>2199</v>
      </c>
      <c r="F237" s="10" t="s">
        <v>1940</v>
      </c>
      <c r="G237" s="10"/>
    </row>
    <row r="238" spans="1:7" ht="26.4" x14ac:dyDescent="0.3">
      <c r="A238" s="27" t="s">
        <v>421</v>
      </c>
      <c r="B238" s="28">
        <v>10</v>
      </c>
      <c r="C238" s="10" t="s">
        <v>1002</v>
      </c>
      <c r="D238" s="10" t="s">
        <v>1014</v>
      </c>
      <c r="E238" s="10" t="s">
        <v>2200</v>
      </c>
      <c r="F238" s="10" t="s">
        <v>1942</v>
      </c>
      <c r="G238" s="10"/>
    </row>
    <row r="239" spans="1:7" ht="26.4" x14ac:dyDescent="0.3">
      <c r="A239" s="27" t="s">
        <v>421</v>
      </c>
      <c r="B239" s="28">
        <v>10</v>
      </c>
      <c r="C239" s="10" t="s">
        <v>1002</v>
      </c>
      <c r="D239" s="10" t="s">
        <v>1014</v>
      </c>
      <c r="E239" s="10" t="s">
        <v>2201</v>
      </c>
      <c r="F239" s="10" t="s">
        <v>2080</v>
      </c>
      <c r="G239" s="10"/>
    </row>
    <row r="240" spans="1:7" ht="26.4" x14ac:dyDescent="0.3">
      <c r="A240" s="27" t="s">
        <v>421</v>
      </c>
      <c r="B240" s="28">
        <v>10</v>
      </c>
      <c r="C240" s="10" t="s">
        <v>1002</v>
      </c>
      <c r="D240" s="10" t="s">
        <v>1014</v>
      </c>
      <c r="E240" s="10" t="s">
        <v>2202</v>
      </c>
      <c r="F240" s="10" t="s">
        <v>1940</v>
      </c>
      <c r="G240" s="10"/>
    </row>
    <row r="241" spans="1:7" x14ac:dyDescent="0.3">
      <c r="A241" s="27" t="s">
        <v>429</v>
      </c>
      <c r="B241" s="28">
        <v>10</v>
      </c>
      <c r="C241" s="10" t="s">
        <v>1002</v>
      </c>
      <c r="D241" s="10" t="s">
        <v>1021</v>
      </c>
      <c r="E241" s="10" t="s">
        <v>1938</v>
      </c>
      <c r="F241" s="10" t="s">
        <v>2203</v>
      </c>
      <c r="G241" s="10" t="s">
        <v>1948</v>
      </c>
    </row>
    <row r="242" spans="1:7" x14ac:dyDescent="0.3">
      <c r="A242" s="27" t="s">
        <v>429</v>
      </c>
      <c r="B242" s="28">
        <v>10</v>
      </c>
      <c r="C242" s="10" t="s">
        <v>1002</v>
      </c>
      <c r="D242" s="10" t="s">
        <v>1021</v>
      </c>
      <c r="E242" s="10" t="s">
        <v>1949</v>
      </c>
      <c r="F242" s="10" t="s">
        <v>1950</v>
      </c>
      <c r="G242" s="10" t="s">
        <v>1951</v>
      </c>
    </row>
    <row r="243" spans="1:7" x14ac:dyDescent="0.3">
      <c r="A243" s="27" t="s">
        <v>429</v>
      </c>
      <c r="B243" s="28">
        <v>10</v>
      </c>
      <c r="C243" s="10" t="s">
        <v>1002</v>
      </c>
      <c r="D243" s="10" t="s">
        <v>1021</v>
      </c>
      <c r="E243" s="10" t="s">
        <v>1952</v>
      </c>
      <c r="F243" s="10"/>
      <c r="G243" s="10" t="s">
        <v>1953</v>
      </c>
    </row>
    <row r="244" spans="1:7" x14ac:dyDescent="0.3">
      <c r="A244" s="27" t="s">
        <v>429</v>
      </c>
      <c r="B244" s="28">
        <v>10</v>
      </c>
      <c r="C244" s="10" t="s">
        <v>1002</v>
      </c>
      <c r="D244" s="10" t="s">
        <v>1021</v>
      </c>
      <c r="E244" s="10" t="s">
        <v>1954</v>
      </c>
      <c r="F244" s="10"/>
      <c r="G244" s="10" t="s">
        <v>1955</v>
      </c>
    </row>
    <row r="245" spans="1:7" x14ac:dyDescent="0.3">
      <c r="A245" s="27" t="s">
        <v>429</v>
      </c>
      <c r="B245" s="28">
        <v>10</v>
      </c>
      <c r="C245" s="10" t="s">
        <v>1002</v>
      </c>
      <c r="D245" s="10" t="s">
        <v>1021</v>
      </c>
      <c r="E245" s="10" t="s">
        <v>2204</v>
      </c>
      <c r="F245" s="10"/>
      <c r="G245" s="10" t="s">
        <v>2205</v>
      </c>
    </row>
    <row r="246" spans="1:7" ht="26.4" x14ac:dyDescent="0.3">
      <c r="A246" s="27" t="s">
        <v>1039</v>
      </c>
      <c r="B246" s="28">
        <v>10</v>
      </c>
      <c r="C246" s="10" t="s">
        <v>1002</v>
      </c>
      <c r="D246" s="10" t="s">
        <v>1040</v>
      </c>
      <c r="E246" s="10" t="s">
        <v>1977</v>
      </c>
      <c r="F246" s="10" t="s">
        <v>2206</v>
      </c>
      <c r="G246" s="10"/>
    </row>
    <row r="247" spans="1:7" ht="26.4" x14ac:dyDescent="0.3">
      <c r="A247" s="27" t="s">
        <v>1039</v>
      </c>
      <c r="B247" s="28">
        <v>10</v>
      </c>
      <c r="C247" s="10" t="s">
        <v>1002</v>
      </c>
      <c r="D247" s="10" t="s">
        <v>1040</v>
      </c>
      <c r="E247" s="10" t="s">
        <v>2207</v>
      </c>
      <c r="F247" s="10" t="s">
        <v>2022</v>
      </c>
      <c r="G247" s="10"/>
    </row>
    <row r="248" spans="1:7" ht="26.4" x14ac:dyDescent="0.3">
      <c r="A248" s="27" t="s">
        <v>1039</v>
      </c>
      <c r="B248" s="28">
        <v>10</v>
      </c>
      <c r="C248" s="10" t="s">
        <v>1002</v>
      </c>
      <c r="D248" s="10" t="s">
        <v>1040</v>
      </c>
      <c r="E248" s="10" t="s">
        <v>2208</v>
      </c>
      <c r="F248" s="10" t="s">
        <v>2209</v>
      </c>
      <c r="G248" s="10"/>
    </row>
    <row r="249" spans="1:7" ht="26.4" x14ac:dyDescent="0.3">
      <c r="A249" s="27" t="s">
        <v>1039</v>
      </c>
      <c r="B249" s="28">
        <v>10</v>
      </c>
      <c r="C249" s="10" t="s">
        <v>1002</v>
      </c>
      <c r="D249" s="10" t="s">
        <v>1040</v>
      </c>
      <c r="E249" s="10" t="s">
        <v>2210</v>
      </c>
      <c r="F249" s="10" t="s">
        <v>1984</v>
      </c>
      <c r="G249" s="10"/>
    </row>
    <row r="250" spans="1:7" x14ac:dyDescent="0.3">
      <c r="A250" s="27" t="s">
        <v>504</v>
      </c>
      <c r="B250" s="28">
        <v>10</v>
      </c>
      <c r="C250" s="10" t="s">
        <v>1002</v>
      </c>
      <c r="D250" s="10" t="s">
        <v>498</v>
      </c>
      <c r="E250" s="10" t="s">
        <v>2211</v>
      </c>
      <c r="F250" s="10" t="s">
        <v>2212</v>
      </c>
      <c r="G250" s="10"/>
    </row>
    <row r="251" spans="1:7" x14ac:dyDescent="0.3">
      <c r="A251" s="27" t="s">
        <v>504</v>
      </c>
      <c r="B251" s="28">
        <v>10</v>
      </c>
      <c r="C251" s="10" t="s">
        <v>1002</v>
      </c>
      <c r="D251" s="10" t="s">
        <v>498</v>
      </c>
      <c r="E251" s="10" t="s">
        <v>2213</v>
      </c>
      <c r="F251" s="10"/>
      <c r="G251" s="10"/>
    </row>
    <row r="252" spans="1:7" x14ac:dyDescent="0.3">
      <c r="A252" s="27" t="s">
        <v>504</v>
      </c>
      <c r="B252" s="28">
        <v>10</v>
      </c>
      <c r="C252" s="10" t="s">
        <v>1002</v>
      </c>
      <c r="D252" s="10" t="s">
        <v>498</v>
      </c>
      <c r="E252" s="10" t="s">
        <v>2214</v>
      </c>
      <c r="F252" s="10" t="s">
        <v>2215</v>
      </c>
      <c r="G252" s="10"/>
    </row>
    <row r="253" spans="1:7" x14ac:dyDescent="0.3">
      <c r="A253" s="27" t="s">
        <v>504</v>
      </c>
      <c r="B253" s="28">
        <v>10</v>
      </c>
      <c r="C253" s="10" t="s">
        <v>1002</v>
      </c>
      <c r="D253" s="10" t="s">
        <v>498</v>
      </c>
      <c r="E253" s="10" t="s">
        <v>2216</v>
      </c>
      <c r="F253" s="10" t="s">
        <v>2217</v>
      </c>
      <c r="G253" s="10"/>
    </row>
    <row r="254" spans="1:7" x14ac:dyDescent="0.3">
      <c r="A254" s="27" t="s">
        <v>504</v>
      </c>
      <c r="B254" s="28">
        <v>10</v>
      </c>
      <c r="C254" s="10" t="s">
        <v>1002</v>
      </c>
      <c r="D254" s="10" t="s">
        <v>498</v>
      </c>
      <c r="E254" s="10" t="s">
        <v>2218</v>
      </c>
      <c r="F254" s="10" t="s">
        <v>2219</v>
      </c>
      <c r="G254" s="10"/>
    </row>
    <row r="255" spans="1:7" ht="26.4" x14ac:dyDescent="0.3">
      <c r="A255" s="27" t="s">
        <v>504</v>
      </c>
      <c r="B255" s="28">
        <v>10</v>
      </c>
      <c r="C255" s="10" t="s">
        <v>1002</v>
      </c>
      <c r="D255" s="10" t="s">
        <v>498</v>
      </c>
      <c r="E255" s="10" t="s">
        <v>2220</v>
      </c>
      <c r="F255" s="10" t="s">
        <v>2221</v>
      </c>
      <c r="G255" s="10"/>
    </row>
    <row r="256" spans="1:7" ht="26.4" x14ac:dyDescent="0.3">
      <c r="A256" s="27" t="s">
        <v>1050</v>
      </c>
      <c r="B256" s="28">
        <v>10</v>
      </c>
      <c r="C256" s="10" t="s">
        <v>1002</v>
      </c>
      <c r="D256" s="10" t="s">
        <v>1051</v>
      </c>
      <c r="E256" s="10" t="s">
        <v>2222</v>
      </c>
      <c r="F256" s="10" t="s">
        <v>2223</v>
      </c>
      <c r="G256" s="10"/>
    </row>
    <row r="257" spans="1:7" x14ac:dyDescent="0.3">
      <c r="A257" s="27" t="s">
        <v>1050</v>
      </c>
      <c r="B257" s="28">
        <v>10</v>
      </c>
      <c r="C257" s="10" t="s">
        <v>1002</v>
      </c>
      <c r="D257" s="10" t="s">
        <v>1051</v>
      </c>
      <c r="E257" s="10" t="s">
        <v>2224</v>
      </c>
      <c r="F257" s="10" t="s">
        <v>2225</v>
      </c>
      <c r="G257" s="10"/>
    </row>
    <row r="258" spans="1:7" x14ac:dyDescent="0.3">
      <c r="A258" s="27" t="s">
        <v>1050</v>
      </c>
      <c r="B258" s="28">
        <v>10</v>
      </c>
      <c r="C258" s="10" t="s">
        <v>1002</v>
      </c>
      <c r="D258" s="10" t="s">
        <v>1051</v>
      </c>
      <c r="E258" s="10" t="s">
        <v>2226</v>
      </c>
      <c r="F258" s="10"/>
      <c r="G258" s="10"/>
    </row>
    <row r="259" spans="1:7" x14ac:dyDescent="0.3">
      <c r="A259" s="27" t="s">
        <v>1050</v>
      </c>
      <c r="B259" s="28">
        <v>10</v>
      </c>
      <c r="C259" s="10" t="s">
        <v>1002</v>
      </c>
      <c r="D259" s="10" t="s">
        <v>1051</v>
      </c>
      <c r="E259" s="10" t="s">
        <v>2227</v>
      </c>
      <c r="F259" s="10"/>
      <c r="G259" s="10"/>
    </row>
    <row r="260" spans="1:7" x14ac:dyDescent="0.3">
      <c r="A260" s="27" t="s">
        <v>1050</v>
      </c>
      <c r="B260" s="28">
        <v>10</v>
      </c>
      <c r="C260" s="10" t="s">
        <v>1002</v>
      </c>
      <c r="D260" s="10" t="s">
        <v>1051</v>
      </c>
      <c r="E260" s="10" t="s">
        <v>2228</v>
      </c>
      <c r="F260" s="10" t="s">
        <v>2229</v>
      </c>
      <c r="G260" s="10"/>
    </row>
    <row r="261" spans="1:7" ht="26.4" x14ac:dyDescent="0.3">
      <c r="A261" s="27" t="s">
        <v>525</v>
      </c>
      <c r="B261" s="28">
        <v>10</v>
      </c>
      <c r="C261" s="10" t="s">
        <v>1002</v>
      </c>
      <c r="D261" s="10" t="s">
        <v>1060</v>
      </c>
      <c r="E261" s="10" t="s">
        <v>1999</v>
      </c>
      <c r="F261" s="10" t="s">
        <v>2230</v>
      </c>
      <c r="G261" s="10"/>
    </row>
    <row r="262" spans="1:7" x14ac:dyDescent="0.3">
      <c r="A262" s="27" t="s">
        <v>525</v>
      </c>
      <c r="B262" s="28">
        <v>10</v>
      </c>
      <c r="C262" s="10" t="s">
        <v>1002</v>
      </c>
      <c r="D262" s="10" t="s">
        <v>1060</v>
      </c>
      <c r="E262" s="10" t="s">
        <v>1997</v>
      </c>
      <c r="F262" s="10" t="s">
        <v>2231</v>
      </c>
      <c r="G262" s="10"/>
    </row>
    <row r="263" spans="1:7" x14ac:dyDescent="0.3">
      <c r="A263" s="27" t="s">
        <v>525</v>
      </c>
      <c r="B263" s="28">
        <v>10</v>
      </c>
      <c r="C263" s="10" t="s">
        <v>1002</v>
      </c>
      <c r="D263" s="10" t="s">
        <v>1060</v>
      </c>
      <c r="E263" s="10" t="s">
        <v>2232</v>
      </c>
      <c r="F263" s="10" t="s">
        <v>2233</v>
      </c>
      <c r="G263" s="10"/>
    </row>
    <row r="264" spans="1:7" x14ac:dyDescent="0.3">
      <c r="A264" s="27" t="s">
        <v>525</v>
      </c>
      <c r="B264" s="28">
        <v>10</v>
      </c>
      <c r="C264" s="10" t="s">
        <v>1002</v>
      </c>
      <c r="D264" s="10" t="s">
        <v>1060</v>
      </c>
      <c r="E264" s="10" t="s">
        <v>2234</v>
      </c>
      <c r="F264" s="10" t="s">
        <v>2235</v>
      </c>
      <c r="G264" s="10"/>
    </row>
    <row r="265" spans="1:7" x14ac:dyDescent="0.3">
      <c r="A265" s="27" t="s">
        <v>525</v>
      </c>
      <c r="B265" s="28">
        <v>10</v>
      </c>
      <c r="C265" s="10" t="s">
        <v>1002</v>
      </c>
      <c r="D265" s="10" t="s">
        <v>1060</v>
      </c>
      <c r="E265" s="10" t="s">
        <v>2236</v>
      </c>
      <c r="F265" s="10"/>
      <c r="G265" s="10"/>
    </row>
    <row r="266" spans="1:7" x14ac:dyDescent="0.3">
      <c r="A266" s="27" t="s">
        <v>525</v>
      </c>
      <c r="B266" s="28">
        <v>10</v>
      </c>
      <c r="C266" s="10" t="s">
        <v>1002</v>
      </c>
      <c r="D266" s="10" t="s">
        <v>1060</v>
      </c>
      <c r="E266" s="10" t="s">
        <v>2237</v>
      </c>
      <c r="F266" s="10" t="s">
        <v>2238</v>
      </c>
      <c r="G266" s="10"/>
    </row>
    <row r="267" spans="1:7" ht="26.4" x14ac:dyDescent="0.3">
      <c r="A267" s="27" t="s">
        <v>547</v>
      </c>
      <c r="B267" s="28">
        <v>10</v>
      </c>
      <c r="C267" s="10" t="s">
        <v>1002</v>
      </c>
      <c r="D267" s="10" t="s">
        <v>1066</v>
      </c>
      <c r="E267" s="10" t="s">
        <v>2011</v>
      </c>
      <c r="F267" s="10" t="s">
        <v>2239</v>
      </c>
      <c r="G267" s="10"/>
    </row>
    <row r="268" spans="1:7" ht="26.4" x14ac:dyDescent="0.3">
      <c r="A268" s="27" t="s">
        <v>547</v>
      </c>
      <c r="B268" s="28">
        <v>10</v>
      </c>
      <c r="C268" s="10" t="s">
        <v>1002</v>
      </c>
      <c r="D268" s="10" t="s">
        <v>1066</v>
      </c>
      <c r="E268" s="10" t="s">
        <v>2240</v>
      </c>
      <c r="F268" s="10" t="s">
        <v>2238</v>
      </c>
      <c r="G268" s="10"/>
    </row>
    <row r="269" spans="1:7" ht="26.4" x14ac:dyDescent="0.3">
      <c r="A269" s="27" t="s">
        <v>547</v>
      </c>
      <c r="B269" s="28">
        <v>10</v>
      </c>
      <c r="C269" s="10" t="s">
        <v>1002</v>
      </c>
      <c r="D269" s="10" t="s">
        <v>1066</v>
      </c>
      <c r="E269" s="10" t="s">
        <v>2013</v>
      </c>
      <c r="F269" s="10"/>
      <c r="G269" s="10"/>
    </row>
    <row r="270" spans="1:7" x14ac:dyDescent="0.3">
      <c r="A270" s="27" t="s">
        <v>555</v>
      </c>
      <c r="B270" s="28">
        <v>10</v>
      </c>
      <c r="C270" s="10" t="s">
        <v>1002</v>
      </c>
      <c r="D270" s="10" t="s">
        <v>549</v>
      </c>
      <c r="E270" s="10" t="s">
        <v>2017</v>
      </c>
      <c r="F270" s="10" t="s">
        <v>2241</v>
      </c>
      <c r="G270" s="10"/>
    </row>
    <row r="271" spans="1:7" x14ac:dyDescent="0.3">
      <c r="A271" s="27" t="s">
        <v>555</v>
      </c>
      <c r="B271" s="28">
        <v>10</v>
      </c>
      <c r="C271" s="10" t="s">
        <v>1002</v>
      </c>
      <c r="D271" s="10" t="s">
        <v>549</v>
      </c>
      <c r="E271" s="10" t="s">
        <v>2019</v>
      </c>
      <c r="F271" s="10"/>
      <c r="G271" s="10"/>
    </row>
    <row r="272" spans="1:7" x14ac:dyDescent="0.3">
      <c r="A272" s="27" t="s">
        <v>555</v>
      </c>
      <c r="B272" s="28">
        <v>10</v>
      </c>
      <c r="C272" s="10" t="s">
        <v>1002</v>
      </c>
      <c r="D272" s="10" t="s">
        <v>549</v>
      </c>
      <c r="E272" s="10" t="s">
        <v>2242</v>
      </c>
      <c r="F272" s="10" t="s">
        <v>2243</v>
      </c>
      <c r="G272" s="10"/>
    </row>
    <row r="273" spans="1:7" x14ac:dyDescent="0.3">
      <c r="A273" s="27" t="s">
        <v>555</v>
      </c>
      <c r="B273" s="28">
        <v>10</v>
      </c>
      <c r="C273" s="10" t="s">
        <v>1002</v>
      </c>
      <c r="D273" s="10" t="s">
        <v>549</v>
      </c>
      <c r="E273" s="10" t="s">
        <v>2244</v>
      </c>
      <c r="F273" s="10" t="s">
        <v>2238</v>
      </c>
      <c r="G273" s="10"/>
    </row>
    <row r="274" spans="1:7" x14ac:dyDescent="0.3">
      <c r="A274" s="27" t="s">
        <v>533</v>
      </c>
      <c r="B274" s="28">
        <v>10</v>
      </c>
      <c r="C274" s="10" t="s">
        <v>1002</v>
      </c>
      <c r="D274" s="10" t="s">
        <v>1076</v>
      </c>
      <c r="E274" s="10" t="s">
        <v>2003</v>
      </c>
      <c r="F274" s="10" t="s">
        <v>2245</v>
      </c>
      <c r="G274" s="10"/>
    </row>
    <row r="275" spans="1:7" x14ac:dyDescent="0.3">
      <c r="A275" s="27" t="s">
        <v>533</v>
      </c>
      <c r="B275" s="28">
        <v>10</v>
      </c>
      <c r="C275" s="10" t="s">
        <v>1002</v>
      </c>
      <c r="D275" s="10" t="s">
        <v>1076</v>
      </c>
      <c r="E275" s="10" t="s">
        <v>2005</v>
      </c>
      <c r="F275" s="10"/>
      <c r="G275" s="10"/>
    </row>
    <row r="276" spans="1:7" x14ac:dyDescent="0.3">
      <c r="A276" s="27" t="s">
        <v>533</v>
      </c>
      <c r="B276" s="28">
        <v>10</v>
      </c>
      <c r="C276" s="10" t="s">
        <v>1002</v>
      </c>
      <c r="D276" s="10" t="s">
        <v>1076</v>
      </c>
      <c r="E276" s="10" t="s">
        <v>2006</v>
      </c>
      <c r="F276" s="10" t="s">
        <v>2246</v>
      </c>
      <c r="G276" s="10"/>
    </row>
    <row r="277" spans="1:7" x14ac:dyDescent="0.3">
      <c r="A277" s="27" t="s">
        <v>533</v>
      </c>
      <c r="B277" s="28">
        <v>10</v>
      </c>
      <c r="C277" s="10" t="s">
        <v>1002</v>
      </c>
      <c r="D277" s="10" t="s">
        <v>1076</v>
      </c>
      <c r="E277" s="10" t="s">
        <v>2247</v>
      </c>
      <c r="F277" s="10"/>
      <c r="G277" s="10"/>
    </row>
    <row r="278" spans="1:7" x14ac:dyDescent="0.3">
      <c r="A278" s="27" t="s">
        <v>533</v>
      </c>
      <c r="B278" s="28">
        <v>10</v>
      </c>
      <c r="C278" s="10" t="s">
        <v>1002</v>
      </c>
      <c r="D278" s="10" t="s">
        <v>1076</v>
      </c>
      <c r="E278" s="10" t="s">
        <v>2248</v>
      </c>
      <c r="F278" s="10" t="s">
        <v>2249</v>
      </c>
      <c r="G278" s="10"/>
    </row>
    <row r="279" spans="1:7" x14ac:dyDescent="0.3">
      <c r="A279" s="27" t="s">
        <v>533</v>
      </c>
      <c r="B279" s="28">
        <v>10</v>
      </c>
      <c r="C279" s="10" t="s">
        <v>1002</v>
      </c>
      <c r="D279" s="10" t="s">
        <v>1076</v>
      </c>
      <c r="E279" s="10" t="s">
        <v>2250</v>
      </c>
      <c r="F279" s="10" t="s">
        <v>2251</v>
      </c>
      <c r="G279" s="10"/>
    </row>
    <row r="280" spans="1:7" ht="26.4" x14ac:dyDescent="0.3">
      <c r="A280" s="27" t="s">
        <v>571</v>
      </c>
      <c r="B280" s="28">
        <v>10</v>
      </c>
      <c r="C280" s="10" t="s">
        <v>1002</v>
      </c>
      <c r="D280" s="10" t="s">
        <v>1086</v>
      </c>
      <c r="E280" s="10" t="s">
        <v>1907</v>
      </c>
      <c r="F280" s="10" t="s">
        <v>2252</v>
      </c>
      <c r="G280" s="10"/>
    </row>
    <row r="281" spans="1:7" ht="26.4" x14ac:dyDescent="0.3">
      <c r="A281" s="27" t="s">
        <v>571</v>
      </c>
      <c r="B281" s="28">
        <v>10</v>
      </c>
      <c r="C281" s="10" t="s">
        <v>1002</v>
      </c>
      <c r="D281" s="10" t="s">
        <v>1086</v>
      </c>
      <c r="E281" s="10" t="s">
        <v>1901</v>
      </c>
      <c r="F281" s="10" t="s">
        <v>2253</v>
      </c>
      <c r="G281" s="10"/>
    </row>
    <row r="282" spans="1:7" ht="26.4" x14ac:dyDescent="0.3">
      <c r="A282" s="27" t="s">
        <v>571</v>
      </c>
      <c r="B282" s="28">
        <v>10</v>
      </c>
      <c r="C282" s="10" t="s">
        <v>1002</v>
      </c>
      <c r="D282" s="10" t="s">
        <v>1086</v>
      </c>
      <c r="E282" s="10" t="s">
        <v>2254</v>
      </c>
      <c r="F282" s="10" t="s">
        <v>2255</v>
      </c>
      <c r="G282" s="10"/>
    </row>
    <row r="283" spans="1:7" ht="26.4" x14ac:dyDescent="0.3">
      <c r="A283" s="27" t="s">
        <v>571</v>
      </c>
      <c r="B283" s="28">
        <v>10</v>
      </c>
      <c r="C283" s="10" t="s">
        <v>1002</v>
      </c>
      <c r="D283" s="10" t="s">
        <v>1086</v>
      </c>
      <c r="E283" s="10" t="s">
        <v>2256</v>
      </c>
      <c r="F283" s="10" t="s">
        <v>2078</v>
      </c>
      <c r="G283" s="10"/>
    </row>
    <row r="284" spans="1:7" ht="26.4" x14ac:dyDescent="0.3">
      <c r="A284" s="27" t="s">
        <v>571</v>
      </c>
      <c r="B284" s="28">
        <v>10</v>
      </c>
      <c r="C284" s="10" t="s">
        <v>1002</v>
      </c>
      <c r="D284" s="10" t="s">
        <v>1086</v>
      </c>
      <c r="E284" s="10" t="s">
        <v>2257</v>
      </c>
      <c r="F284" s="10" t="s">
        <v>2078</v>
      </c>
      <c r="G284" s="10"/>
    </row>
    <row r="285" spans="1:7" ht="26.4" x14ac:dyDescent="0.3">
      <c r="A285" s="27" t="s">
        <v>571</v>
      </c>
      <c r="B285" s="28">
        <v>10</v>
      </c>
      <c r="C285" s="10" t="s">
        <v>1002</v>
      </c>
      <c r="D285" s="10" t="s">
        <v>1086</v>
      </c>
      <c r="E285" s="10" t="s">
        <v>2258</v>
      </c>
      <c r="F285" s="10" t="s">
        <v>2078</v>
      </c>
      <c r="G285" s="10"/>
    </row>
    <row r="286" spans="1:7" ht="26.4" x14ac:dyDescent="0.3">
      <c r="A286" s="27" t="s">
        <v>571</v>
      </c>
      <c r="B286" s="28">
        <v>10</v>
      </c>
      <c r="C286" s="10" t="s">
        <v>1002</v>
      </c>
      <c r="D286" s="10" t="s">
        <v>1086</v>
      </c>
      <c r="E286" s="10" t="s">
        <v>2259</v>
      </c>
      <c r="F286" s="10"/>
      <c r="G286" s="10"/>
    </row>
    <row r="287" spans="1:7" ht="26.4" x14ac:dyDescent="0.3">
      <c r="A287" s="27" t="s">
        <v>571</v>
      </c>
      <c r="B287" s="28">
        <v>10</v>
      </c>
      <c r="C287" s="10" t="s">
        <v>1002</v>
      </c>
      <c r="D287" s="10" t="s">
        <v>1086</v>
      </c>
      <c r="E287" s="10" t="s">
        <v>2260</v>
      </c>
      <c r="F287" s="10" t="s">
        <v>2092</v>
      </c>
      <c r="G287" s="10"/>
    </row>
    <row r="288" spans="1:7" ht="26.4" x14ac:dyDescent="0.3">
      <c r="A288" s="27" t="s">
        <v>571</v>
      </c>
      <c r="B288" s="28">
        <v>10</v>
      </c>
      <c r="C288" s="10" t="s">
        <v>1002</v>
      </c>
      <c r="D288" s="10" t="s">
        <v>1086</v>
      </c>
      <c r="E288" s="10" t="s">
        <v>2261</v>
      </c>
      <c r="F288" s="10" t="s">
        <v>2262</v>
      </c>
      <c r="G288" s="10"/>
    </row>
    <row r="289" spans="1:7" x14ac:dyDescent="0.3">
      <c r="A289" s="27" t="s">
        <v>96</v>
      </c>
      <c r="B289" s="28">
        <v>10</v>
      </c>
      <c r="C289" s="10" t="s">
        <v>1095</v>
      </c>
      <c r="D289" s="10" t="s">
        <v>1100</v>
      </c>
      <c r="E289" s="10" t="s">
        <v>2263</v>
      </c>
      <c r="F289" s="10"/>
      <c r="G289" s="10"/>
    </row>
    <row r="290" spans="1:7" x14ac:dyDescent="0.3">
      <c r="A290" s="27" t="s">
        <v>96</v>
      </c>
      <c r="B290" s="28">
        <v>10</v>
      </c>
      <c r="C290" s="10" t="s">
        <v>1095</v>
      </c>
      <c r="D290" s="10" t="s">
        <v>1100</v>
      </c>
      <c r="E290" s="10" t="s">
        <v>2264</v>
      </c>
      <c r="F290" s="10"/>
      <c r="G290" s="10"/>
    </row>
    <row r="291" spans="1:7" x14ac:dyDescent="0.3">
      <c r="A291" s="27" t="s">
        <v>96</v>
      </c>
      <c r="B291" s="28">
        <v>10</v>
      </c>
      <c r="C291" s="10" t="s">
        <v>1095</v>
      </c>
      <c r="D291" s="10" t="s">
        <v>1100</v>
      </c>
      <c r="E291" s="10" t="s">
        <v>2265</v>
      </c>
      <c r="F291" s="10"/>
      <c r="G291" s="10"/>
    </row>
    <row r="292" spans="1:7" x14ac:dyDescent="0.3">
      <c r="A292" s="27" t="s">
        <v>96</v>
      </c>
      <c r="B292" s="28">
        <v>10</v>
      </c>
      <c r="C292" s="10" t="s">
        <v>1095</v>
      </c>
      <c r="D292" s="10" t="s">
        <v>1100</v>
      </c>
      <c r="E292" s="10" t="s">
        <v>1832</v>
      </c>
      <c r="F292" s="10"/>
      <c r="G292" s="10"/>
    </row>
    <row r="293" spans="1:7" ht="26.4" x14ac:dyDescent="0.3">
      <c r="A293" s="27" t="s">
        <v>811</v>
      </c>
      <c r="B293" s="28">
        <v>10</v>
      </c>
      <c r="C293" s="10" t="s">
        <v>1095</v>
      </c>
      <c r="D293" s="10" t="s">
        <v>1105</v>
      </c>
      <c r="E293" s="10" t="s">
        <v>1834</v>
      </c>
      <c r="F293" s="10" t="s">
        <v>2134</v>
      </c>
      <c r="G293" s="10"/>
    </row>
    <row r="294" spans="1:7" ht="26.4" x14ac:dyDescent="0.3">
      <c r="A294" s="27" t="s">
        <v>811</v>
      </c>
      <c r="B294" s="28">
        <v>10</v>
      </c>
      <c r="C294" s="10" t="s">
        <v>1095</v>
      </c>
      <c r="D294" s="10" t="s">
        <v>1105</v>
      </c>
      <c r="E294" s="10" t="s">
        <v>2266</v>
      </c>
      <c r="F294" s="10" t="s">
        <v>2267</v>
      </c>
      <c r="G294" s="10"/>
    </row>
    <row r="295" spans="1:7" ht="26.4" x14ac:dyDescent="0.3">
      <c r="A295" s="27" t="s">
        <v>811</v>
      </c>
      <c r="B295" s="28">
        <v>10</v>
      </c>
      <c r="C295" s="10" t="s">
        <v>1095</v>
      </c>
      <c r="D295" s="10" t="s">
        <v>1105</v>
      </c>
      <c r="E295" s="10" t="s">
        <v>2268</v>
      </c>
      <c r="F295" s="10" t="s">
        <v>2269</v>
      </c>
      <c r="G295" s="10"/>
    </row>
    <row r="296" spans="1:7" ht="26.4" x14ac:dyDescent="0.3">
      <c r="A296" s="27" t="s">
        <v>811</v>
      </c>
      <c r="B296" s="28">
        <v>10</v>
      </c>
      <c r="C296" s="10" t="s">
        <v>1095</v>
      </c>
      <c r="D296" s="10" t="s">
        <v>1105</v>
      </c>
      <c r="E296" s="10" t="s">
        <v>2270</v>
      </c>
      <c r="F296" s="10" t="s">
        <v>2271</v>
      </c>
      <c r="G296" s="10"/>
    </row>
    <row r="297" spans="1:7" ht="26.4" x14ac:dyDescent="0.3">
      <c r="A297" s="27" t="s">
        <v>811</v>
      </c>
      <c r="B297" s="28">
        <v>10</v>
      </c>
      <c r="C297" s="10" t="s">
        <v>1095</v>
      </c>
      <c r="D297" s="10" t="s">
        <v>1105</v>
      </c>
      <c r="E297" s="10" t="s">
        <v>2272</v>
      </c>
      <c r="F297" s="10"/>
      <c r="G297" s="10"/>
    </row>
    <row r="298" spans="1:7" x14ac:dyDescent="0.3">
      <c r="A298" s="27" t="s">
        <v>1112</v>
      </c>
      <c r="B298" s="28">
        <v>10</v>
      </c>
      <c r="C298" s="10" t="s">
        <v>1095</v>
      </c>
      <c r="D298" s="10" t="s">
        <v>1113</v>
      </c>
      <c r="E298" s="10" t="s">
        <v>2273</v>
      </c>
      <c r="F298" s="10" t="s">
        <v>2274</v>
      </c>
      <c r="G298" s="10"/>
    </row>
    <row r="299" spans="1:7" x14ac:dyDescent="0.3">
      <c r="A299" s="27" t="s">
        <v>1112</v>
      </c>
      <c r="B299" s="28">
        <v>10</v>
      </c>
      <c r="C299" s="10" t="s">
        <v>1095</v>
      </c>
      <c r="D299" s="10" t="s">
        <v>1113</v>
      </c>
      <c r="E299" s="10" t="s">
        <v>2275</v>
      </c>
      <c r="F299" s="10" t="s">
        <v>2276</v>
      </c>
      <c r="G299" s="10"/>
    </row>
    <row r="300" spans="1:7" x14ac:dyDescent="0.3">
      <c r="A300" s="27" t="s">
        <v>1112</v>
      </c>
      <c r="B300" s="28">
        <v>10</v>
      </c>
      <c r="C300" s="10" t="s">
        <v>1095</v>
      </c>
      <c r="D300" s="10" t="s">
        <v>1113</v>
      </c>
      <c r="E300" s="10" t="s">
        <v>2277</v>
      </c>
      <c r="F300" s="10" t="s">
        <v>2278</v>
      </c>
      <c r="G300" s="10"/>
    </row>
    <row r="301" spans="1:7" x14ac:dyDescent="0.3">
      <c r="A301" s="27" t="s">
        <v>1112</v>
      </c>
      <c r="B301" s="28">
        <v>10</v>
      </c>
      <c r="C301" s="10" t="s">
        <v>1095</v>
      </c>
      <c r="D301" s="10" t="s">
        <v>1113</v>
      </c>
      <c r="E301" s="10" t="s">
        <v>2279</v>
      </c>
      <c r="F301" s="10" t="s">
        <v>2238</v>
      </c>
      <c r="G301" s="10"/>
    </row>
    <row r="302" spans="1:7" x14ac:dyDescent="0.3">
      <c r="A302" s="27" t="s">
        <v>1121</v>
      </c>
      <c r="B302" s="28">
        <v>10</v>
      </c>
      <c r="C302" s="10" t="s">
        <v>1122</v>
      </c>
      <c r="D302" s="10" t="s">
        <v>1124</v>
      </c>
      <c r="E302" s="10" t="s">
        <v>1847</v>
      </c>
      <c r="F302" s="10" t="s">
        <v>2280</v>
      </c>
      <c r="G302" s="10"/>
    </row>
    <row r="303" spans="1:7" x14ac:dyDescent="0.3">
      <c r="A303" s="27" t="s">
        <v>1121</v>
      </c>
      <c r="B303" s="28">
        <v>10</v>
      </c>
      <c r="C303" s="10" t="s">
        <v>1122</v>
      </c>
      <c r="D303" s="10" t="s">
        <v>1124</v>
      </c>
      <c r="E303" s="10" t="s">
        <v>2281</v>
      </c>
      <c r="F303" s="10" t="s">
        <v>2282</v>
      </c>
      <c r="G303" s="10"/>
    </row>
    <row r="304" spans="1:7" x14ac:dyDescent="0.3">
      <c r="A304" s="27" t="s">
        <v>1155</v>
      </c>
      <c r="B304" s="28">
        <v>10</v>
      </c>
      <c r="C304" s="10" t="s">
        <v>1122</v>
      </c>
      <c r="D304" s="10" t="s">
        <v>1157</v>
      </c>
      <c r="E304" s="10" t="s">
        <v>1849</v>
      </c>
      <c r="F304" s="10" t="s">
        <v>2283</v>
      </c>
      <c r="G304" s="10"/>
    </row>
    <row r="305" spans="1:7" x14ac:dyDescent="0.3">
      <c r="A305" s="27" t="s">
        <v>1155</v>
      </c>
      <c r="B305" s="28">
        <v>10</v>
      </c>
      <c r="C305" s="10" t="s">
        <v>1122</v>
      </c>
      <c r="D305" s="10" t="s">
        <v>1157</v>
      </c>
      <c r="E305" s="10" t="s">
        <v>1851</v>
      </c>
      <c r="F305" s="10"/>
      <c r="G305" s="10"/>
    </row>
    <row r="306" spans="1:7" x14ac:dyDescent="0.3">
      <c r="A306" s="27" t="s">
        <v>1155</v>
      </c>
      <c r="B306" s="28">
        <v>10</v>
      </c>
      <c r="C306" s="10" t="s">
        <v>1122</v>
      </c>
      <c r="D306" s="10" t="s">
        <v>1157</v>
      </c>
      <c r="E306" s="10" t="s">
        <v>2284</v>
      </c>
      <c r="F306" s="10"/>
      <c r="G306" s="10"/>
    </row>
    <row r="307" spans="1:7" ht="26.4" x14ac:dyDescent="0.3">
      <c r="A307" s="27" t="s">
        <v>1164</v>
      </c>
      <c r="B307" s="28">
        <v>10</v>
      </c>
      <c r="C307" s="10" t="s">
        <v>1122</v>
      </c>
      <c r="D307" s="10" t="s">
        <v>1165</v>
      </c>
      <c r="E307" s="10" t="s">
        <v>2285</v>
      </c>
      <c r="F307" s="10" t="s">
        <v>2286</v>
      </c>
      <c r="G307" s="10"/>
    </row>
    <row r="308" spans="1:7" ht="26.4" x14ac:dyDescent="0.3">
      <c r="A308" s="27" t="s">
        <v>1164</v>
      </c>
      <c r="B308" s="28">
        <v>10</v>
      </c>
      <c r="C308" s="10" t="s">
        <v>1122</v>
      </c>
      <c r="D308" s="10" t="s">
        <v>1165</v>
      </c>
      <c r="E308" s="10" t="s">
        <v>2287</v>
      </c>
      <c r="F308" s="10"/>
      <c r="G308" s="10"/>
    </row>
    <row r="309" spans="1:7" ht="26.4" x14ac:dyDescent="0.3">
      <c r="A309" s="27" t="s">
        <v>1171</v>
      </c>
      <c r="B309" s="28">
        <v>10</v>
      </c>
      <c r="C309" s="10" t="s">
        <v>1122</v>
      </c>
      <c r="D309" s="10" t="s">
        <v>1172</v>
      </c>
      <c r="E309" s="10" t="s">
        <v>2288</v>
      </c>
      <c r="F309" s="10" t="s">
        <v>2289</v>
      </c>
      <c r="G309" s="10"/>
    </row>
    <row r="310" spans="1:7" x14ac:dyDescent="0.3">
      <c r="A310" s="27" t="s">
        <v>1177</v>
      </c>
      <c r="B310" s="28">
        <v>10</v>
      </c>
      <c r="C310" s="10" t="s">
        <v>1122</v>
      </c>
      <c r="D310" s="10" t="s">
        <v>1178</v>
      </c>
      <c r="E310" s="10" t="s">
        <v>2290</v>
      </c>
      <c r="F310" s="10" t="s">
        <v>2291</v>
      </c>
      <c r="G310" s="10"/>
    </row>
    <row r="311" spans="1:7" x14ac:dyDescent="0.3">
      <c r="A311" s="27" t="s">
        <v>1177</v>
      </c>
      <c r="B311" s="28">
        <v>10</v>
      </c>
      <c r="C311" s="10" t="s">
        <v>1122</v>
      </c>
      <c r="D311" s="10" t="s">
        <v>1178</v>
      </c>
      <c r="E311" s="10" t="s">
        <v>2292</v>
      </c>
      <c r="F311" s="10" t="s">
        <v>2034</v>
      </c>
      <c r="G311" s="10"/>
    </row>
    <row r="312" spans="1:7" x14ac:dyDescent="0.3">
      <c r="A312" s="27" t="s">
        <v>627</v>
      </c>
      <c r="B312" s="28">
        <v>10</v>
      </c>
      <c r="C312" s="10" t="s">
        <v>1122</v>
      </c>
      <c r="D312" s="10" t="s">
        <v>1185</v>
      </c>
      <c r="E312" s="10" t="s">
        <v>1875</v>
      </c>
      <c r="F312" s="10" t="s">
        <v>2293</v>
      </c>
      <c r="G312" s="10"/>
    </row>
    <row r="313" spans="1:7" x14ac:dyDescent="0.3">
      <c r="A313" s="27" t="s">
        <v>627</v>
      </c>
      <c r="B313" s="28">
        <v>10</v>
      </c>
      <c r="C313" s="10" t="s">
        <v>1122</v>
      </c>
      <c r="D313" s="10" t="s">
        <v>1185</v>
      </c>
      <c r="E313" s="10" t="s">
        <v>2294</v>
      </c>
      <c r="F313" s="10" t="s">
        <v>2036</v>
      </c>
      <c r="G313" s="10"/>
    </row>
    <row r="314" spans="1:7" x14ac:dyDescent="0.3">
      <c r="A314" s="27" t="s">
        <v>627</v>
      </c>
      <c r="B314" s="28">
        <v>10</v>
      </c>
      <c r="C314" s="10" t="s">
        <v>1122</v>
      </c>
      <c r="D314" s="10" t="s">
        <v>1185</v>
      </c>
      <c r="E314" s="10" t="s">
        <v>2295</v>
      </c>
      <c r="F314" s="10" t="s">
        <v>2036</v>
      </c>
      <c r="G314" s="10"/>
    </row>
    <row r="315" spans="1:7" x14ac:dyDescent="0.3">
      <c r="A315" s="27" t="s">
        <v>627</v>
      </c>
      <c r="B315" s="28">
        <v>10</v>
      </c>
      <c r="C315" s="10" t="s">
        <v>1122</v>
      </c>
      <c r="D315" s="10" t="s">
        <v>1185</v>
      </c>
      <c r="E315" s="10" t="s">
        <v>2296</v>
      </c>
      <c r="F315" s="10"/>
      <c r="G315" s="10"/>
    </row>
    <row r="316" spans="1:7" x14ac:dyDescent="0.3">
      <c r="A316" s="27" t="s">
        <v>627</v>
      </c>
      <c r="B316" s="28">
        <v>10</v>
      </c>
      <c r="C316" s="10" t="s">
        <v>1122</v>
      </c>
      <c r="D316" s="10" t="s">
        <v>1185</v>
      </c>
      <c r="E316" s="10" t="s">
        <v>2297</v>
      </c>
      <c r="F316" s="10"/>
      <c r="G316" s="10"/>
    </row>
    <row r="317" spans="1:7" x14ac:dyDescent="0.3">
      <c r="A317" s="27" t="s">
        <v>627</v>
      </c>
      <c r="B317" s="28">
        <v>10</v>
      </c>
      <c r="C317" s="10" t="s">
        <v>1122</v>
      </c>
      <c r="D317" s="10" t="s">
        <v>1185</v>
      </c>
      <c r="E317" s="10" t="s">
        <v>2298</v>
      </c>
      <c r="F317" s="10" t="s">
        <v>2034</v>
      </c>
      <c r="G317" s="10"/>
    </row>
    <row r="318" spans="1:7" x14ac:dyDescent="0.3">
      <c r="A318" s="27" t="s">
        <v>627</v>
      </c>
      <c r="B318" s="28">
        <v>10</v>
      </c>
      <c r="C318" s="10" t="s">
        <v>1122</v>
      </c>
      <c r="D318" s="10" t="s">
        <v>1185</v>
      </c>
      <c r="E318" s="10" t="s">
        <v>2299</v>
      </c>
      <c r="F318" s="10" t="s">
        <v>2032</v>
      </c>
      <c r="G318" s="10"/>
    </row>
    <row r="319" spans="1:7" x14ac:dyDescent="0.3">
      <c r="A319" s="27" t="s">
        <v>627</v>
      </c>
      <c r="B319" s="28">
        <v>10</v>
      </c>
      <c r="C319" s="10" t="s">
        <v>1122</v>
      </c>
      <c r="D319" s="10" t="s">
        <v>1185</v>
      </c>
      <c r="E319" s="10" t="s">
        <v>2300</v>
      </c>
      <c r="F319" s="10" t="s">
        <v>2136</v>
      </c>
      <c r="G319" s="10"/>
    </row>
    <row r="320" spans="1:7" ht="26.4" x14ac:dyDescent="0.3">
      <c r="A320" s="27" t="s">
        <v>1193</v>
      </c>
      <c r="B320" s="28">
        <v>10</v>
      </c>
      <c r="C320" s="10" t="s">
        <v>1122</v>
      </c>
      <c r="D320" s="10" t="s">
        <v>1195</v>
      </c>
      <c r="E320" s="10" t="s">
        <v>2301</v>
      </c>
      <c r="F320" s="10" t="s">
        <v>2302</v>
      </c>
      <c r="G320" s="10"/>
    </row>
    <row r="321" spans="1:7" ht="26.4" x14ac:dyDescent="0.3">
      <c r="A321" s="27" t="s">
        <v>1202</v>
      </c>
      <c r="B321" s="28">
        <v>10</v>
      </c>
      <c r="C321" s="10" t="s">
        <v>1122</v>
      </c>
      <c r="D321" s="10" t="s">
        <v>1203</v>
      </c>
      <c r="E321" s="10" t="s">
        <v>2303</v>
      </c>
      <c r="F321" s="10" t="s">
        <v>2304</v>
      </c>
      <c r="G321" s="10"/>
    </row>
    <row r="322" spans="1:7" ht="26.4" x14ac:dyDescent="0.3">
      <c r="A322" s="27" t="s">
        <v>1202</v>
      </c>
      <c r="B322" s="28">
        <v>10</v>
      </c>
      <c r="C322" s="10" t="s">
        <v>1122</v>
      </c>
      <c r="D322" s="10" t="s">
        <v>1203</v>
      </c>
      <c r="E322" s="10" t="s">
        <v>2305</v>
      </c>
      <c r="F322" s="10" t="s">
        <v>2306</v>
      </c>
      <c r="G322" s="10"/>
    </row>
    <row r="323" spans="1:7" x14ac:dyDescent="0.3">
      <c r="A323" s="27" t="s">
        <v>1207</v>
      </c>
      <c r="B323" s="28">
        <v>10</v>
      </c>
      <c r="C323" s="10" t="s">
        <v>1122</v>
      </c>
      <c r="D323" s="10" t="s">
        <v>1208</v>
      </c>
      <c r="E323" s="10" t="s">
        <v>2307</v>
      </c>
      <c r="F323" s="10" t="s">
        <v>2308</v>
      </c>
      <c r="G323" s="10"/>
    </row>
    <row r="324" spans="1:7" x14ac:dyDescent="0.3">
      <c r="A324" s="27" t="s">
        <v>1207</v>
      </c>
      <c r="B324" s="28">
        <v>10</v>
      </c>
      <c r="C324" s="10" t="s">
        <v>1122</v>
      </c>
      <c r="D324" s="10" t="s">
        <v>1208</v>
      </c>
      <c r="E324" s="10" t="s">
        <v>2309</v>
      </c>
      <c r="F324" s="10" t="s">
        <v>2310</v>
      </c>
      <c r="G324" s="10"/>
    </row>
    <row r="325" spans="1:7" x14ac:dyDescent="0.3">
      <c r="A325" s="27" t="s">
        <v>1207</v>
      </c>
      <c r="B325" s="28">
        <v>10</v>
      </c>
      <c r="C325" s="10" t="s">
        <v>1122</v>
      </c>
      <c r="D325" s="10" t="s">
        <v>1208</v>
      </c>
      <c r="E325" s="10" t="s">
        <v>2311</v>
      </c>
      <c r="F325" s="10"/>
      <c r="G325" s="10"/>
    </row>
    <row r="326" spans="1:7" x14ac:dyDescent="0.3">
      <c r="A326" s="27" t="s">
        <v>1227</v>
      </c>
      <c r="B326" s="28">
        <v>10</v>
      </c>
      <c r="C326" s="10" t="s">
        <v>1122</v>
      </c>
      <c r="D326" s="10" t="s">
        <v>1228</v>
      </c>
      <c r="E326" s="10" t="s">
        <v>2312</v>
      </c>
      <c r="F326" s="10" t="s">
        <v>1863</v>
      </c>
      <c r="G326" s="10"/>
    </row>
    <row r="327" spans="1:7" x14ac:dyDescent="0.3">
      <c r="A327" s="27" t="s">
        <v>1227</v>
      </c>
      <c r="B327" s="28">
        <v>10</v>
      </c>
      <c r="C327" s="10" t="s">
        <v>1122</v>
      </c>
      <c r="D327" s="10" t="s">
        <v>1228</v>
      </c>
      <c r="E327" s="10" t="s">
        <v>2313</v>
      </c>
      <c r="F327" s="10" t="s">
        <v>2314</v>
      </c>
      <c r="G327" s="10"/>
    </row>
    <row r="328" spans="1:7" x14ac:dyDescent="0.3">
      <c r="A328" s="27" t="s">
        <v>1227</v>
      </c>
      <c r="B328" s="28">
        <v>10</v>
      </c>
      <c r="C328" s="10" t="s">
        <v>1122</v>
      </c>
      <c r="D328" s="10" t="s">
        <v>1228</v>
      </c>
      <c r="E328" s="10" t="s">
        <v>2315</v>
      </c>
      <c r="F328" s="10"/>
      <c r="G328" s="10"/>
    </row>
    <row r="329" spans="1:7" x14ac:dyDescent="0.3">
      <c r="A329" s="27" t="s">
        <v>1227</v>
      </c>
      <c r="B329" s="28">
        <v>10</v>
      </c>
      <c r="C329" s="10" t="s">
        <v>1122</v>
      </c>
      <c r="D329" s="10" t="s">
        <v>1228</v>
      </c>
      <c r="E329" s="10" t="s">
        <v>2316</v>
      </c>
      <c r="F329" s="10"/>
      <c r="G329" s="10"/>
    </row>
    <row r="330" spans="1:7" x14ac:dyDescent="0.3">
      <c r="A330" s="27" t="s">
        <v>1227</v>
      </c>
      <c r="B330" s="28">
        <v>10</v>
      </c>
      <c r="C330" s="10" t="s">
        <v>1122</v>
      </c>
      <c r="D330" s="10" t="s">
        <v>1228</v>
      </c>
      <c r="E330" s="10" t="s">
        <v>2317</v>
      </c>
      <c r="F330" s="10" t="s">
        <v>2136</v>
      </c>
      <c r="G330" s="10"/>
    </row>
    <row r="331" spans="1:7" x14ac:dyDescent="0.3">
      <c r="A331" s="27" t="s">
        <v>1235</v>
      </c>
      <c r="B331" s="28">
        <v>10</v>
      </c>
      <c r="C331" s="10" t="s">
        <v>1122</v>
      </c>
      <c r="D331" s="10" t="s">
        <v>1236</v>
      </c>
      <c r="E331" s="10" t="s">
        <v>2054</v>
      </c>
      <c r="F331" s="10" t="s">
        <v>2318</v>
      </c>
      <c r="G331" s="10"/>
    </row>
    <row r="332" spans="1:7" x14ac:dyDescent="0.3">
      <c r="A332" s="27" t="s">
        <v>1235</v>
      </c>
      <c r="B332" s="28">
        <v>10</v>
      </c>
      <c r="C332" s="10" t="s">
        <v>1122</v>
      </c>
      <c r="D332" s="10" t="s">
        <v>1236</v>
      </c>
      <c r="E332" s="10" t="s">
        <v>2056</v>
      </c>
      <c r="F332" s="10"/>
      <c r="G332" s="10"/>
    </row>
    <row r="333" spans="1:7" x14ac:dyDescent="0.3">
      <c r="A333" s="27" t="s">
        <v>1235</v>
      </c>
      <c r="B333" s="28">
        <v>10</v>
      </c>
      <c r="C333" s="10" t="s">
        <v>1122</v>
      </c>
      <c r="D333" s="10" t="s">
        <v>1236</v>
      </c>
      <c r="E333" s="10" t="s">
        <v>2319</v>
      </c>
      <c r="F333" s="10" t="s">
        <v>2320</v>
      </c>
      <c r="G333" s="10"/>
    </row>
    <row r="334" spans="1:7" x14ac:dyDescent="0.3">
      <c r="A334" s="27" t="s">
        <v>1235</v>
      </c>
      <c r="B334" s="28">
        <v>10</v>
      </c>
      <c r="C334" s="10" t="s">
        <v>1122</v>
      </c>
      <c r="D334" s="10" t="s">
        <v>1236</v>
      </c>
      <c r="E334" s="10" t="s">
        <v>2321</v>
      </c>
      <c r="F334" s="10" t="s">
        <v>1948</v>
      </c>
      <c r="G334" s="10"/>
    </row>
    <row r="335" spans="1:7" x14ac:dyDescent="0.3">
      <c r="A335" s="27" t="s">
        <v>1240</v>
      </c>
      <c r="B335" s="28">
        <v>10</v>
      </c>
      <c r="C335" s="10" t="s">
        <v>1122</v>
      </c>
      <c r="D335" s="10" t="s">
        <v>1241</v>
      </c>
      <c r="E335" s="10" t="s">
        <v>2139</v>
      </c>
      <c r="F335" s="10" t="s">
        <v>2322</v>
      </c>
      <c r="G335" s="10"/>
    </row>
    <row r="336" spans="1:7" x14ac:dyDescent="0.3">
      <c r="A336" s="27" t="s">
        <v>1240</v>
      </c>
      <c r="B336" s="28">
        <v>10</v>
      </c>
      <c r="C336" s="10" t="s">
        <v>1122</v>
      </c>
      <c r="D336" s="10" t="s">
        <v>1241</v>
      </c>
      <c r="E336" s="10" t="s">
        <v>2323</v>
      </c>
      <c r="F336" s="10" t="s">
        <v>2136</v>
      </c>
      <c r="G336" s="10"/>
    </row>
    <row r="337" spans="1:7" x14ac:dyDescent="0.3">
      <c r="A337" s="27" t="s">
        <v>1240</v>
      </c>
      <c r="B337" s="28">
        <v>10</v>
      </c>
      <c r="C337" s="10" t="s">
        <v>1122</v>
      </c>
      <c r="D337" s="10" t="s">
        <v>1241</v>
      </c>
      <c r="E337" s="10" t="s">
        <v>2143</v>
      </c>
      <c r="F337" s="10"/>
      <c r="G337" s="10"/>
    </row>
    <row r="338" spans="1:7" x14ac:dyDescent="0.3">
      <c r="A338" s="27" t="s">
        <v>1240</v>
      </c>
      <c r="B338" s="28">
        <v>10</v>
      </c>
      <c r="C338" s="10" t="s">
        <v>1122</v>
      </c>
      <c r="D338" s="10" t="s">
        <v>1241</v>
      </c>
      <c r="E338" s="10" t="s">
        <v>2324</v>
      </c>
      <c r="F338" s="10"/>
      <c r="G338" s="10"/>
    </row>
    <row r="339" spans="1:7" x14ac:dyDescent="0.3">
      <c r="A339" s="27" t="s">
        <v>1240</v>
      </c>
      <c r="B339" s="28">
        <v>10</v>
      </c>
      <c r="C339" s="10" t="s">
        <v>1122</v>
      </c>
      <c r="D339" s="10" t="s">
        <v>1241</v>
      </c>
      <c r="E339" s="10" t="s">
        <v>2325</v>
      </c>
      <c r="F339" s="10" t="s">
        <v>2136</v>
      </c>
      <c r="G339" s="10"/>
    </row>
    <row r="340" spans="1:7" x14ac:dyDescent="0.3">
      <c r="A340" s="27" t="s">
        <v>1249</v>
      </c>
      <c r="B340" s="28">
        <v>10</v>
      </c>
      <c r="C340" s="10" t="s">
        <v>1250</v>
      </c>
      <c r="D340" s="10" t="s">
        <v>1252</v>
      </c>
      <c r="E340" s="10" t="s">
        <v>2175</v>
      </c>
      <c r="F340" s="10" t="s">
        <v>2326</v>
      </c>
      <c r="G340" s="10"/>
    </row>
    <row r="341" spans="1:7" x14ac:dyDescent="0.3">
      <c r="A341" s="27" t="s">
        <v>1249</v>
      </c>
      <c r="B341" s="28">
        <v>10</v>
      </c>
      <c r="C341" s="10" t="s">
        <v>1250</v>
      </c>
      <c r="D341" s="10" t="s">
        <v>1252</v>
      </c>
      <c r="E341" s="10" t="s">
        <v>2327</v>
      </c>
      <c r="F341" s="10" t="s">
        <v>2328</v>
      </c>
      <c r="G341" s="10"/>
    </row>
    <row r="342" spans="1:7" x14ac:dyDescent="0.3">
      <c r="A342" s="27" t="s">
        <v>1249</v>
      </c>
      <c r="B342" s="28">
        <v>10</v>
      </c>
      <c r="C342" s="10" t="s">
        <v>1250</v>
      </c>
      <c r="D342" s="10" t="s">
        <v>1252</v>
      </c>
      <c r="E342" s="10" t="s">
        <v>2329</v>
      </c>
      <c r="F342" s="10" t="s">
        <v>2330</v>
      </c>
      <c r="G342" s="10"/>
    </row>
    <row r="343" spans="1:7" x14ac:dyDescent="0.3">
      <c r="A343" s="27" t="s">
        <v>965</v>
      </c>
      <c r="B343" s="28">
        <v>10</v>
      </c>
      <c r="C343" s="10" t="s">
        <v>1250</v>
      </c>
      <c r="D343" s="10" t="s">
        <v>1257</v>
      </c>
      <c r="E343" s="10" t="s">
        <v>2179</v>
      </c>
      <c r="F343" s="10" t="s">
        <v>2331</v>
      </c>
      <c r="G343" s="10"/>
    </row>
    <row r="344" spans="1:7" x14ac:dyDescent="0.3">
      <c r="A344" s="27" t="s">
        <v>965</v>
      </c>
      <c r="B344" s="28">
        <v>10</v>
      </c>
      <c r="C344" s="10" t="s">
        <v>1250</v>
      </c>
      <c r="D344" s="10" t="s">
        <v>1257</v>
      </c>
      <c r="E344" s="10" t="s">
        <v>2177</v>
      </c>
      <c r="F344" s="10" t="s">
        <v>2332</v>
      </c>
      <c r="G344" s="10"/>
    </row>
    <row r="345" spans="1:7" x14ac:dyDescent="0.3">
      <c r="A345" s="27" t="s">
        <v>965</v>
      </c>
      <c r="B345" s="28">
        <v>10</v>
      </c>
      <c r="C345" s="10" t="s">
        <v>1250</v>
      </c>
      <c r="D345" s="10" t="s">
        <v>1257</v>
      </c>
      <c r="E345" s="10" t="s">
        <v>2175</v>
      </c>
      <c r="F345" s="10"/>
      <c r="G345" s="10"/>
    </row>
    <row r="346" spans="1:7" x14ac:dyDescent="0.3">
      <c r="A346" s="27" t="s">
        <v>965</v>
      </c>
      <c r="B346" s="28">
        <v>10</v>
      </c>
      <c r="C346" s="10" t="s">
        <v>1250</v>
      </c>
      <c r="D346" s="10" t="s">
        <v>1257</v>
      </c>
      <c r="E346" s="10" t="s">
        <v>2333</v>
      </c>
      <c r="F346" s="10"/>
      <c r="G346" s="10"/>
    </row>
    <row r="347" spans="1:7" x14ac:dyDescent="0.3">
      <c r="A347" s="27" t="s">
        <v>965</v>
      </c>
      <c r="B347" s="28">
        <v>10</v>
      </c>
      <c r="C347" s="10" t="s">
        <v>1250</v>
      </c>
      <c r="D347" s="10" t="s">
        <v>1257</v>
      </c>
      <c r="E347" s="10" t="s">
        <v>2334</v>
      </c>
      <c r="F347" s="10" t="s">
        <v>2335</v>
      </c>
      <c r="G347" s="10"/>
    </row>
    <row r="348" spans="1:7" x14ac:dyDescent="0.3">
      <c r="A348" s="27" t="s">
        <v>965</v>
      </c>
      <c r="B348" s="28">
        <v>10</v>
      </c>
      <c r="C348" s="10" t="s">
        <v>1250</v>
      </c>
      <c r="D348" s="10" t="s">
        <v>1257</v>
      </c>
      <c r="E348" s="10" t="s">
        <v>2181</v>
      </c>
      <c r="F348" s="10" t="s">
        <v>2336</v>
      </c>
      <c r="G348" s="10"/>
    </row>
    <row r="349" spans="1:7" x14ac:dyDescent="0.3">
      <c r="A349" s="27" t="s">
        <v>1000</v>
      </c>
      <c r="B349" s="28">
        <v>10</v>
      </c>
      <c r="C349" s="10" t="s">
        <v>1250</v>
      </c>
      <c r="D349" s="10" t="s">
        <v>1271</v>
      </c>
      <c r="E349" s="10" t="s">
        <v>2166</v>
      </c>
      <c r="F349" s="10" t="s">
        <v>2337</v>
      </c>
      <c r="G349" s="10"/>
    </row>
    <row r="350" spans="1:7" x14ac:dyDescent="0.3">
      <c r="A350" s="27" t="s">
        <v>1000</v>
      </c>
      <c r="B350" s="28">
        <v>10</v>
      </c>
      <c r="C350" s="10" t="s">
        <v>1250</v>
      </c>
      <c r="D350" s="10" t="s">
        <v>1271</v>
      </c>
      <c r="E350" s="10" t="s">
        <v>2168</v>
      </c>
      <c r="F350" s="10" t="s">
        <v>2338</v>
      </c>
      <c r="G350" s="10"/>
    </row>
    <row r="351" spans="1:7" x14ac:dyDescent="0.3">
      <c r="A351" s="27" t="s">
        <v>1000</v>
      </c>
      <c r="B351" s="28">
        <v>10</v>
      </c>
      <c r="C351" s="10" t="s">
        <v>1250</v>
      </c>
      <c r="D351" s="10" t="s">
        <v>1271</v>
      </c>
      <c r="E351" s="10" t="s">
        <v>2187</v>
      </c>
      <c r="F351" s="10" t="s">
        <v>2339</v>
      </c>
      <c r="G351" s="10"/>
    </row>
    <row r="352" spans="1:7" x14ac:dyDescent="0.3">
      <c r="A352" s="27" t="s">
        <v>1000</v>
      </c>
      <c r="B352" s="28">
        <v>10</v>
      </c>
      <c r="C352" s="10" t="s">
        <v>1250</v>
      </c>
      <c r="D352" s="10" t="s">
        <v>1271</v>
      </c>
      <c r="E352" s="10" t="s">
        <v>2340</v>
      </c>
      <c r="F352" s="10" t="s">
        <v>2190</v>
      </c>
      <c r="G352" s="10"/>
    </row>
    <row r="353" spans="1:7" x14ac:dyDescent="0.3">
      <c r="A353" s="27" t="s">
        <v>1000</v>
      </c>
      <c r="B353" s="28">
        <v>10</v>
      </c>
      <c r="C353" s="10" t="s">
        <v>1250</v>
      </c>
      <c r="D353" s="10" t="s">
        <v>1271</v>
      </c>
      <c r="E353" s="10" t="s">
        <v>2341</v>
      </c>
      <c r="F353" s="10"/>
      <c r="G353" s="10"/>
    </row>
    <row r="354" spans="1:7" x14ac:dyDescent="0.3">
      <c r="A354" s="29" t="s">
        <v>1129</v>
      </c>
      <c r="B354" s="30">
        <v>11</v>
      </c>
      <c r="C354" s="10" t="s">
        <v>1278</v>
      </c>
      <c r="D354" s="10" t="s">
        <v>1279</v>
      </c>
      <c r="E354" s="10" t="s">
        <v>1847</v>
      </c>
      <c r="F354" s="10" t="s">
        <v>2342</v>
      </c>
      <c r="G354" s="10"/>
    </row>
    <row r="355" spans="1:7" x14ac:dyDescent="0.3">
      <c r="A355" s="29" t="s">
        <v>1129</v>
      </c>
      <c r="B355" s="30">
        <v>11</v>
      </c>
      <c r="C355" s="10" t="s">
        <v>1278</v>
      </c>
      <c r="D355" s="10" t="s">
        <v>1279</v>
      </c>
      <c r="E355" s="10" t="s">
        <v>2343</v>
      </c>
      <c r="F355" s="10" t="s">
        <v>2344</v>
      </c>
      <c r="G355" s="10"/>
    </row>
    <row r="356" spans="1:7" x14ac:dyDescent="0.3">
      <c r="A356" s="29" t="s">
        <v>1284</v>
      </c>
      <c r="B356" s="30">
        <v>11</v>
      </c>
      <c r="C356" s="10" t="s">
        <v>1278</v>
      </c>
      <c r="D356" s="10" t="s">
        <v>1285</v>
      </c>
      <c r="E356" s="10" t="s">
        <v>2345</v>
      </c>
      <c r="F356" s="10" t="s">
        <v>2346</v>
      </c>
      <c r="G356" s="10" t="s">
        <v>2347</v>
      </c>
    </row>
    <row r="357" spans="1:7" x14ac:dyDescent="0.3">
      <c r="A357" s="29" t="s">
        <v>1284</v>
      </c>
      <c r="B357" s="30">
        <v>11</v>
      </c>
      <c r="C357" s="10" t="s">
        <v>1278</v>
      </c>
      <c r="D357" s="10" t="s">
        <v>1285</v>
      </c>
      <c r="E357" s="10" t="s">
        <v>2348</v>
      </c>
      <c r="F357" s="10" t="s">
        <v>2349</v>
      </c>
      <c r="G357" s="10"/>
    </row>
    <row r="358" spans="1:7" x14ac:dyDescent="0.3">
      <c r="A358" s="29" t="s">
        <v>1284</v>
      </c>
      <c r="B358" s="30">
        <v>11</v>
      </c>
      <c r="C358" s="10" t="s">
        <v>1278</v>
      </c>
      <c r="D358" s="10" t="s">
        <v>1285</v>
      </c>
      <c r="E358" s="10" t="s">
        <v>2350</v>
      </c>
      <c r="F358" s="10"/>
      <c r="G358" s="10"/>
    </row>
    <row r="359" spans="1:7" x14ac:dyDescent="0.3">
      <c r="A359" s="29" t="s">
        <v>1284</v>
      </c>
      <c r="B359" s="30">
        <v>11</v>
      </c>
      <c r="C359" s="10" t="s">
        <v>1278</v>
      </c>
      <c r="D359" s="10" t="s">
        <v>1285</v>
      </c>
      <c r="E359" s="10" t="s">
        <v>2351</v>
      </c>
      <c r="F359" s="10" t="s">
        <v>2352</v>
      </c>
      <c r="G359" s="10"/>
    </row>
    <row r="360" spans="1:7" x14ac:dyDescent="0.3">
      <c r="A360" s="29" t="s">
        <v>1284</v>
      </c>
      <c r="B360" s="30">
        <v>11</v>
      </c>
      <c r="C360" s="10" t="s">
        <v>1278</v>
      </c>
      <c r="D360" s="10" t="s">
        <v>1285</v>
      </c>
      <c r="E360" s="10" t="s">
        <v>2353</v>
      </c>
      <c r="F360" s="10" t="s">
        <v>2078</v>
      </c>
      <c r="G360" s="10"/>
    </row>
    <row r="361" spans="1:7" x14ac:dyDescent="0.3">
      <c r="A361" s="29" t="s">
        <v>1284</v>
      </c>
      <c r="B361" s="30">
        <v>11</v>
      </c>
      <c r="C361" s="10" t="s">
        <v>1278</v>
      </c>
      <c r="D361" s="10" t="s">
        <v>1285</v>
      </c>
      <c r="E361" s="10" t="s">
        <v>2354</v>
      </c>
      <c r="F361" s="10" t="s">
        <v>2078</v>
      </c>
      <c r="G361" s="10"/>
    </row>
    <row r="362" spans="1:7" x14ac:dyDescent="0.3">
      <c r="A362" s="29" t="s">
        <v>1292</v>
      </c>
      <c r="B362" s="30">
        <v>11</v>
      </c>
      <c r="C362" s="10" t="s">
        <v>1293</v>
      </c>
      <c r="D362" s="10" t="s">
        <v>1294</v>
      </c>
      <c r="E362" s="10" t="s">
        <v>2355</v>
      </c>
      <c r="F362" s="10" t="s">
        <v>2356</v>
      </c>
      <c r="G362" s="10"/>
    </row>
    <row r="363" spans="1:7" x14ac:dyDescent="0.3">
      <c r="A363" s="29" t="s">
        <v>1292</v>
      </c>
      <c r="B363" s="30">
        <v>11</v>
      </c>
      <c r="C363" s="10" t="s">
        <v>1293</v>
      </c>
      <c r="D363" s="10" t="s">
        <v>1294</v>
      </c>
      <c r="E363" s="10" t="s">
        <v>2357</v>
      </c>
      <c r="F363" s="10" t="s">
        <v>2078</v>
      </c>
      <c r="G363" s="10"/>
    </row>
    <row r="364" spans="1:7" x14ac:dyDescent="0.3">
      <c r="A364" s="29" t="s">
        <v>1292</v>
      </c>
      <c r="B364" s="30">
        <v>11</v>
      </c>
      <c r="C364" s="10" t="s">
        <v>1293</v>
      </c>
      <c r="D364" s="10" t="s">
        <v>1294</v>
      </c>
      <c r="E364" s="10" t="s">
        <v>2358</v>
      </c>
      <c r="F364" s="10" t="s">
        <v>2359</v>
      </c>
      <c r="G364" s="10" t="s">
        <v>2347</v>
      </c>
    </row>
    <row r="365" spans="1:7" x14ac:dyDescent="0.3">
      <c r="A365" s="29" t="s">
        <v>1292</v>
      </c>
      <c r="B365" s="30">
        <v>11</v>
      </c>
      <c r="C365" s="10" t="s">
        <v>1293</v>
      </c>
      <c r="D365" s="10" t="s">
        <v>1294</v>
      </c>
      <c r="E365" s="10" t="s">
        <v>2360</v>
      </c>
      <c r="F365" s="10"/>
      <c r="G365" s="10"/>
    </row>
    <row r="366" spans="1:7" x14ac:dyDescent="0.3">
      <c r="A366" s="29" t="s">
        <v>1300</v>
      </c>
      <c r="B366" s="30">
        <v>11</v>
      </c>
      <c r="C366" s="10" t="s">
        <v>1293</v>
      </c>
      <c r="D366" s="10" t="s">
        <v>1301</v>
      </c>
      <c r="E366" s="10" t="s">
        <v>2361</v>
      </c>
      <c r="F366" s="10" t="s">
        <v>2362</v>
      </c>
      <c r="G366" s="10"/>
    </row>
    <row r="367" spans="1:7" x14ac:dyDescent="0.3">
      <c r="A367" s="29" t="s">
        <v>1300</v>
      </c>
      <c r="B367" s="30">
        <v>11</v>
      </c>
      <c r="C367" s="10" t="s">
        <v>1293</v>
      </c>
      <c r="D367" s="10" t="s">
        <v>1301</v>
      </c>
      <c r="E367" s="10" t="s">
        <v>2363</v>
      </c>
      <c r="F367" s="10"/>
      <c r="G367" s="10"/>
    </row>
    <row r="368" spans="1:7" x14ac:dyDescent="0.3">
      <c r="A368" s="29" t="s">
        <v>1307</v>
      </c>
      <c r="B368" s="30">
        <v>11</v>
      </c>
      <c r="C368" s="10" t="s">
        <v>1293</v>
      </c>
      <c r="D368" s="10" t="s">
        <v>1308</v>
      </c>
      <c r="E368" s="10" t="s">
        <v>2364</v>
      </c>
      <c r="F368" s="10" t="s">
        <v>2365</v>
      </c>
      <c r="G368" s="10"/>
    </row>
    <row r="369" spans="1:7" x14ac:dyDescent="0.3">
      <c r="A369" s="29" t="s">
        <v>1307</v>
      </c>
      <c r="B369" s="30">
        <v>11</v>
      </c>
      <c r="C369" s="10" t="s">
        <v>1293</v>
      </c>
      <c r="D369" s="10" t="s">
        <v>1308</v>
      </c>
      <c r="E369" s="10" t="s">
        <v>2366</v>
      </c>
      <c r="F369" s="10" t="s">
        <v>2078</v>
      </c>
      <c r="G369" s="10"/>
    </row>
    <row r="370" spans="1:7" x14ac:dyDescent="0.3">
      <c r="A370" s="29" t="s">
        <v>1307</v>
      </c>
      <c r="B370" s="30">
        <v>11</v>
      </c>
      <c r="C370" s="10" t="s">
        <v>1293</v>
      </c>
      <c r="D370" s="10" t="s">
        <v>1308</v>
      </c>
      <c r="E370" s="10" t="s">
        <v>2367</v>
      </c>
      <c r="F370" s="10" t="s">
        <v>2368</v>
      </c>
      <c r="G370" s="10"/>
    </row>
    <row r="371" spans="1:7" x14ac:dyDescent="0.3">
      <c r="A371" s="29" t="s">
        <v>1307</v>
      </c>
      <c r="B371" s="30">
        <v>11</v>
      </c>
      <c r="C371" s="10" t="s">
        <v>1293</v>
      </c>
      <c r="D371" s="10" t="s">
        <v>1308</v>
      </c>
      <c r="E371" s="10" t="s">
        <v>2369</v>
      </c>
      <c r="F371" s="10" t="s">
        <v>2370</v>
      </c>
      <c r="G371" s="10"/>
    </row>
    <row r="372" spans="1:7" x14ac:dyDescent="0.3">
      <c r="A372" s="29" t="s">
        <v>1307</v>
      </c>
      <c r="B372" s="30">
        <v>11</v>
      </c>
      <c r="C372" s="10" t="s">
        <v>1293</v>
      </c>
      <c r="D372" s="10" t="s">
        <v>1308</v>
      </c>
      <c r="E372" s="10" t="s">
        <v>2371</v>
      </c>
      <c r="F372" s="10" t="s">
        <v>2372</v>
      </c>
      <c r="G372" s="10"/>
    </row>
    <row r="373" spans="1:7" x14ac:dyDescent="0.3">
      <c r="A373" s="29" t="s">
        <v>1313</v>
      </c>
      <c r="B373" s="30">
        <v>11</v>
      </c>
      <c r="C373" s="10" t="s">
        <v>1293</v>
      </c>
      <c r="D373" s="10" t="s">
        <v>1314</v>
      </c>
      <c r="E373" s="10" t="s">
        <v>2373</v>
      </c>
      <c r="F373" s="10" t="s">
        <v>2374</v>
      </c>
      <c r="G373" s="10"/>
    </row>
    <row r="374" spans="1:7" x14ac:dyDescent="0.3">
      <c r="A374" s="29" t="s">
        <v>1313</v>
      </c>
      <c r="B374" s="30">
        <v>11</v>
      </c>
      <c r="C374" s="10" t="s">
        <v>1293</v>
      </c>
      <c r="D374" s="10" t="s">
        <v>1314</v>
      </c>
      <c r="E374" s="10" t="s">
        <v>2375</v>
      </c>
      <c r="F374" s="10" t="s">
        <v>2238</v>
      </c>
      <c r="G374" s="10"/>
    </row>
    <row r="375" spans="1:7" x14ac:dyDescent="0.3">
      <c r="A375" s="29" t="s">
        <v>1313</v>
      </c>
      <c r="B375" s="30">
        <v>11</v>
      </c>
      <c r="C375" s="10" t="s">
        <v>1293</v>
      </c>
      <c r="D375" s="10" t="s">
        <v>1314</v>
      </c>
      <c r="E375" s="10" t="s">
        <v>2376</v>
      </c>
      <c r="F375" s="10" t="s">
        <v>2377</v>
      </c>
      <c r="G375" s="10"/>
    </row>
    <row r="376" spans="1:7" x14ac:dyDescent="0.3">
      <c r="A376" s="29" t="s">
        <v>1313</v>
      </c>
      <c r="B376" s="30">
        <v>11</v>
      </c>
      <c r="C376" s="10" t="s">
        <v>1293</v>
      </c>
      <c r="D376" s="10" t="s">
        <v>1314</v>
      </c>
      <c r="E376" s="10" t="s">
        <v>2378</v>
      </c>
      <c r="F376" s="10" t="s">
        <v>2379</v>
      </c>
      <c r="G376" s="10"/>
    </row>
    <row r="377" spans="1:7" x14ac:dyDescent="0.3">
      <c r="A377" s="29" t="s">
        <v>1313</v>
      </c>
      <c r="B377" s="30">
        <v>11</v>
      </c>
      <c r="C377" s="10" t="s">
        <v>1293</v>
      </c>
      <c r="D377" s="10" t="s">
        <v>1314</v>
      </c>
      <c r="E377" s="10" t="s">
        <v>2380</v>
      </c>
      <c r="F377" s="10" t="s">
        <v>2381</v>
      </c>
      <c r="G377" s="10"/>
    </row>
    <row r="378" spans="1:7" x14ac:dyDescent="0.3">
      <c r="A378" s="29" t="s">
        <v>1313</v>
      </c>
      <c r="B378" s="30">
        <v>11</v>
      </c>
      <c r="C378" s="10" t="s">
        <v>1293</v>
      </c>
      <c r="D378" s="10" t="s">
        <v>1314</v>
      </c>
      <c r="E378" s="10" t="s">
        <v>2382</v>
      </c>
      <c r="F378" s="10" t="s">
        <v>1940</v>
      </c>
      <c r="G378" s="10"/>
    </row>
    <row r="379" spans="1:7" x14ac:dyDescent="0.3">
      <c r="A379" s="29" t="s">
        <v>1313</v>
      </c>
      <c r="B379" s="30">
        <v>11</v>
      </c>
      <c r="C379" s="10" t="s">
        <v>1293</v>
      </c>
      <c r="D379" s="10" t="s">
        <v>1314</v>
      </c>
      <c r="E379" s="10" t="s">
        <v>2383</v>
      </c>
      <c r="F379" s="10" t="s">
        <v>2384</v>
      </c>
      <c r="G379" s="10"/>
    </row>
    <row r="380" spans="1:7" x14ac:dyDescent="0.3">
      <c r="A380" s="29" t="s">
        <v>1320</v>
      </c>
      <c r="B380" s="30">
        <v>11</v>
      </c>
      <c r="C380" s="10" t="s">
        <v>1293</v>
      </c>
      <c r="D380" s="10" t="s">
        <v>1321</v>
      </c>
      <c r="E380" s="10" t="s">
        <v>2385</v>
      </c>
      <c r="F380" s="10" t="s">
        <v>2386</v>
      </c>
      <c r="G380" s="10"/>
    </row>
    <row r="381" spans="1:7" x14ac:dyDescent="0.3">
      <c r="A381" s="29" t="s">
        <v>1320</v>
      </c>
      <c r="B381" s="30">
        <v>11</v>
      </c>
      <c r="C381" s="10" t="s">
        <v>1293</v>
      </c>
      <c r="D381" s="10" t="s">
        <v>1321</v>
      </c>
      <c r="E381" s="10" t="s">
        <v>2387</v>
      </c>
      <c r="F381" s="10" t="s">
        <v>2388</v>
      </c>
      <c r="G381" s="10"/>
    </row>
    <row r="382" spans="1:7" x14ac:dyDescent="0.3">
      <c r="A382" s="29" t="s">
        <v>1320</v>
      </c>
      <c r="B382" s="30">
        <v>11</v>
      </c>
      <c r="C382" s="10" t="s">
        <v>1293</v>
      </c>
      <c r="D382" s="10" t="s">
        <v>1321</v>
      </c>
      <c r="E382" s="10" t="s">
        <v>2232</v>
      </c>
      <c r="F382" s="10" t="s">
        <v>2389</v>
      </c>
      <c r="G382" s="10"/>
    </row>
    <row r="383" spans="1:7" ht="26.4" x14ac:dyDescent="0.3">
      <c r="A383" s="29" t="s">
        <v>1325</v>
      </c>
      <c r="B383" s="30">
        <v>11</v>
      </c>
      <c r="C383" s="10" t="s">
        <v>1293</v>
      </c>
      <c r="D383" s="10" t="s">
        <v>1326</v>
      </c>
      <c r="E383" s="10" t="s">
        <v>2390</v>
      </c>
      <c r="F383" s="10" t="s">
        <v>2391</v>
      </c>
      <c r="G383" s="10"/>
    </row>
    <row r="384" spans="1:7" ht="26.4" x14ac:dyDescent="0.3">
      <c r="A384" s="29" t="s">
        <v>1325</v>
      </c>
      <c r="B384" s="30">
        <v>11</v>
      </c>
      <c r="C384" s="10" t="s">
        <v>1293</v>
      </c>
      <c r="D384" s="10" t="s">
        <v>1326</v>
      </c>
      <c r="E384" s="10" t="s">
        <v>2392</v>
      </c>
      <c r="F384" s="10"/>
      <c r="G384" s="10"/>
    </row>
    <row r="385" spans="1:7" ht="26.4" x14ac:dyDescent="0.3">
      <c r="A385" s="29" t="s">
        <v>1325</v>
      </c>
      <c r="B385" s="30">
        <v>11</v>
      </c>
      <c r="C385" s="10" t="s">
        <v>1293</v>
      </c>
      <c r="D385" s="10" t="s">
        <v>1326</v>
      </c>
      <c r="E385" s="10" t="s">
        <v>2393</v>
      </c>
      <c r="F385" s="10" t="s">
        <v>2394</v>
      </c>
      <c r="G385" s="10"/>
    </row>
    <row r="386" spans="1:7" ht="26.4" x14ac:dyDescent="0.3">
      <c r="A386" s="29" t="s">
        <v>1325</v>
      </c>
      <c r="B386" s="30">
        <v>11</v>
      </c>
      <c r="C386" s="10" t="s">
        <v>1293</v>
      </c>
      <c r="D386" s="10" t="s">
        <v>1326</v>
      </c>
      <c r="E386" s="10" t="s">
        <v>2395</v>
      </c>
      <c r="F386" s="10" t="s">
        <v>2022</v>
      </c>
      <c r="G386" s="10"/>
    </row>
    <row r="387" spans="1:7" ht="26.4" x14ac:dyDescent="0.3">
      <c r="A387" s="29" t="s">
        <v>1325</v>
      </c>
      <c r="B387" s="30">
        <v>11</v>
      </c>
      <c r="C387" s="10" t="s">
        <v>1293</v>
      </c>
      <c r="D387" s="10" t="s">
        <v>1326</v>
      </c>
      <c r="E387" s="10" t="s">
        <v>2396</v>
      </c>
      <c r="F387" s="10" t="s">
        <v>2397</v>
      </c>
      <c r="G387" s="10"/>
    </row>
    <row r="388" spans="1:7" ht="26.4" x14ac:dyDescent="0.3">
      <c r="A388" s="29" t="s">
        <v>1325</v>
      </c>
      <c r="B388" s="30">
        <v>11</v>
      </c>
      <c r="C388" s="10" t="s">
        <v>1293</v>
      </c>
      <c r="D388" s="10" t="s">
        <v>1326</v>
      </c>
      <c r="E388" s="10" t="s">
        <v>2398</v>
      </c>
      <c r="F388" s="10" t="s">
        <v>2397</v>
      </c>
      <c r="G388" s="10"/>
    </row>
    <row r="389" spans="1:7" ht="26.4" x14ac:dyDescent="0.3">
      <c r="A389" s="29" t="s">
        <v>1325</v>
      </c>
      <c r="B389" s="30">
        <v>11</v>
      </c>
      <c r="C389" s="10" t="s">
        <v>1293</v>
      </c>
      <c r="D389" s="10" t="s">
        <v>1326</v>
      </c>
      <c r="E389" s="10" t="s">
        <v>2399</v>
      </c>
      <c r="F389" s="10" t="s">
        <v>2344</v>
      </c>
      <c r="G389" s="10"/>
    </row>
    <row r="390" spans="1:7" x14ac:dyDescent="0.3">
      <c r="A390" s="29" t="s">
        <v>1333</v>
      </c>
      <c r="B390" s="30">
        <v>11</v>
      </c>
      <c r="C390" s="10" t="s">
        <v>1334</v>
      </c>
      <c r="D390" s="10" t="s">
        <v>1336</v>
      </c>
      <c r="E390" s="10" t="s">
        <v>2400</v>
      </c>
      <c r="F390" s="10" t="s">
        <v>2401</v>
      </c>
      <c r="G390" s="10"/>
    </row>
    <row r="391" spans="1:7" x14ac:dyDescent="0.3">
      <c r="A391" s="29" t="s">
        <v>1333</v>
      </c>
      <c r="B391" s="30">
        <v>11</v>
      </c>
      <c r="C391" s="10" t="s">
        <v>1334</v>
      </c>
      <c r="D391" s="10" t="s">
        <v>1336</v>
      </c>
      <c r="E391" s="10" t="s">
        <v>2402</v>
      </c>
      <c r="F391" s="10"/>
      <c r="G391" s="10"/>
    </row>
    <row r="392" spans="1:7" x14ac:dyDescent="0.3">
      <c r="A392" s="29" t="s">
        <v>1333</v>
      </c>
      <c r="B392" s="30">
        <v>11</v>
      </c>
      <c r="C392" s="10" t="s">
        <v>1334</v>
      </c>
      <c r="D392" s="10" t="s">
        <v>1336</v>
      </c>
      <c r="E392" s="10" t="s">
        <v>2403</v>
      </c>
      <c r="F392" s="10"/>
      <c r="G392" s="10"/>
    </row>
    <row r="393" spans="1:7" x14ac:dyDescent="0.3">
      <c r="A393" s="29" t="s">
        <v>1341</v>
      </c>
      <c r="B393" s="30">
        <v>11</v>
      </c>
      <c r="C393" s="10" t="s">
        <v>1334</v>
      </c>
      <c r="D393" s="10" t="s">
        <v>1342</v>
      </c>
      <c r="E393" s="10" t="s">
        <v>2404</v>
      </c>
      <c r="F393" s="10" t="s">
        <v>2405</v>
      </c>
      <c r="G393" s="10"/>
    </row>
    <row r="394" spans="1:7" x14ac:dyDescent="0.3">
      <c r="A394" s="29" t="s">
        <v>1341</v>
      </c>
      <c r="B394" s="30">
        <v>11</v>
      </c>
      <c r="C394" s="10" t="s">
        <v>1334</v>
      </c>
      <c r="D394" s="10" t="s">
        <v>1342</v>
      </c>
      <c r="E394" s="10" t="s">
        <v>2406</v>
      </c>
      <c r="F394" s="10" t="s">
        <v>2407</v>
      </c>
      <c r="G394" s="10"/>
    </row>
    <row r="395" spans="1:7" x14ac:dyDescent="0.3">
      <c r="A395" s="29" t="s">
        <v>1341</v>
      </c>
      <c r="B395" s="30">
        <v>11</v>
      </c>
      <c r="C395" s="10" t="s">
        <v>1334</v>
      </c>
      <c r="D395" s="10" t="s">
        <v>1342</v>
      </c>
      <c r="E395" s="10" t="s">
        <v>2408</v>
      </c>
      <c r="F395" s="10" t="s">
        <v>2409</v>
      </c>
      <c r="G395" s="10"/>
    </row>
    <row r="396" spans="1:7" x14ac:dyDescent="0.3">
      <c r="A396" s="29" t="s">
        <v>1341</v>
      </c>
      <c r="B396" s="30">
        <v>11</v>
      </c>
      <c r="C396" s="10" t="s">
        <v>1334</v>
      </c>
      <c r="D396" s="10" t="s">
        <v>1342</v>
      </c>
      <c r="E396" s="10" t="s">
        <v>2410</v>
      </c>
      <c r="F396" s="10" t="s">
        <v>2411</v>
      </c>
      <c r="G396" s="10"/>
    </row>
    <row r="397" spans="1:7" ht="26.4" x14ac:dyDescent="0.3">
      <c r="A397" s="29" t="s">
        <v>1348</v>
      </c>
      <c r="B397" s="30">
        <v>11</v>
      </c>
      <c r="C397" s="10" t="s">
        <v>1334</v>
      </c>
      <c r="D397" s="10" t="s">
        <v>1349</v>
      </c>
      <c r="E397" s="10" t="s">
        <v>2412</v>
      </c>
      <c r="F397" s="10" t="s">
        <v>2413</v>
      </c>
      <c r="G397" s="10" t="s">
        <v>2414</v>
      </c>
    </row>
    <row r="398" spans="1:7" ht="26.4" x14ac:dyDescent="0.3">
      <c r="A398" s="29" t="s">
        <v>1348</v>
      </c>
      <c r="B398" s="30">
        <v>11</v>
      </c>
      <c r="C398" s="10" t="s">
        <v>1334</v>
      </c>
      <c r="D398" s="10" t="s">
        <v>1349</v>
      </c>
      <c r="E398" s="10" t="s">
        <v>2415</v>
      </c>
      <c r="F398" s="10"/>
      <c r="G398" s="10" t="s">
        <v>2416</v>
      </c>
    </row>
    <row r="399" spans="1:7" ht="26.4" x14ac:dyDescent="0.3">
      <c r="A399" s="29" t="s">
        <v>1348</v>
      </c>
      <c r="B399" s="30">
        <v>11</v>
      </c>
      <c r="C399" s="10" t="s">
        <v>1334</v>
      </c>
      <c r="D399" s="10" t="s">
        <v>1349</v>
      </c>
      <c r="E399" s="10" t="s">
        <v>2417</v>
      </c>
      <c r="F399" s="10"/>
      <c r="G399" s="10" t="s">
        <v>2418</v>
      </c>
    </row>
    <row r="400" spans="1:7" ht="26.4" x14ac:dyDescent="0.3">
      <c r="A400" s="29" t="s">
        <v>1348</v>
      </c>
      <c r="B400" s="30">
        <v>11</v>
      </c>
      <c r="C400" s="10" t="s">
        <v>1334</v>
      </c>
      <c r="D400" s="10" t="s">
        <v>1349</v>
      </c>
      <c r="E400" s="10" t="s">
        <v>2419</v>
      </c>
      <c r="F400" s="10"/>
      <c r="G400" s="10" t="s">
        <v>2420</v>
      </c>
    </row>
    <row r="401" spans="1:7" ht="26.4" x14ac:dyDescent="0.3">
      <c r="A401" s="29" t="s">
        <v>1348</v>
      </c>
      <c r="B401" s="30">
        <v>11</v>
      </c>
      <c r="C401" s="10" t="s">
        <v>1334</v>
      </c>
      <c r="D401" s="10" t="s">
        <v>1349</v>
      </c>
      <c r="E401" s="10" t="s">
        <v>2421</v>
      </c>
      <c r="F401" s="10"/>
      <c r="G401" s="10" t="s">
        <v>2422</v>
      </c>
    </row>
    <row r="402" spans="1:7" ht="26.4" x14ac:dyDescent="0.3">
      <c r="A402" s="29" t="s">
        <v>1348</v>
      </c>
      <c r="B402" s="30">
        <v>11</v>
      </c>
      <c r="C402" s="10" t="s">
        <v>1334</v>
      </c>
      <c r="D402" s="10" t="s">
        <v>1349</v>
      </c>
      <c r="E402" s="10" t="s">
        <v>2423</v>
      </c>
      <c r="F402" s="10" t="s">
        <v>2424</v>
      </c>
      <c r="G402" s="10"/>
    </row>
    <row r="403" spans="1:7" ht="26.4" x14ac:dyDescent="0.3">
      <c r="A403" s="29" t="s">
        <v>1348</v>
      </c>
      <c r="B403" s="30">
        <v>11</v>
      </c>
      <c r="C403" s="10" t="s">
        <v>1334</v>
      </c>
      <c r="D403" s="10" t="s">
        <v>1349</v>
      </c>
      <c r="E403" s="10" t="s">
        <v>2425</v>
      </c>
      <c r="F403" s="10" t="s">
        <v>2426</v>
      </c>
      <c r="G403" s="10"/>
    </row>
    <row r="404" spans="1:7" ht="26.4" x14ac:dyDescent="0.3">
      <c r="A404" s="29" t="s">
        <v>1355</v>
      </c>
      <c r="B404" s="30">
        <v>11</v>
      </c>
      <c r="C404" s="10" t="s">
        <v>1334</v>
      </c>
      <c r="D404" s="10" t="s">
        <v>1357</v>
      </c>
      <c r="E404" s="10" t="s">
        <v>2427</v>
      </c>
      <c r="F404" s="10" t="s">
        <v>2428</v>
      </c>
      <c r="G404" s="10"/>
    </row>
    <row r="405" spans="1:7" x14ac:dyDescent="0.3">
      <c r="A405" s="29" t="s">
        <v>1355</v>
      </c>
      <c r="B405" s="30">
        <v>11</v>
      </c>
      <c r="C405" s="10" t="s">
        <v>1334</v>
      </c>
      <c r="D405" s="10" t="s">
        <v>1357</v>
      </c>
      <c r="E405" s="10" t="s">
        <v>2429</v>
      </c>
      <c r="F405" s="10" t="s">
        <v>2430</v>
      </c>
      <c r="G405" s="10"/>
    </row>
    <row r="406" spans="1:7" x14ac:dyDescent="0.3">
      <c r="A406" s="29" t="s">
        <v>1355</v>
      </c>
      <c r="B406" s="30">
        <v>11</v>
      </c>
      <c r="C406" s="10" t="s">
        <v>1334</v>
      </c>
      <c r="D406" s="10" t="s">
        <v>1357</v>
      </c>
      <c r="E406" s="10" t="s">
        <v>2431</v>
      </c>
      <c r="F406" s="10" t="s">
        <v>2074</v>
      </c>
      <c r="G406" s="10"/>
    </row>
    <row r="407" spans="1:7" x14ac:dyDescent="0.3">
      <c r="A407" s="29" t="s">
        <v>1363</v>
      </c>
      <c r="B407" s="30">
        <v>11</v>
      </c>
      <c r="C407" s="10" t="s">
        <v>1334</v>
      </c>
      <c r="D407" s="10" t="s">
        <v>1364</v>
      </c>
      <c r="E407" s="10" t="s">
        <v>2432</v>
      </c>
      <c r="F407" s="10" t="s">
        <v>2433</v>
      </c>
      <c r="G407" s="10" t="s">
        <v>2434</v>
      </c>
    </row>
    <row r="408" spans="1:7" x14ac:dyDescent="0.3">
      <c r="A408" s="29" t="s">
        <v>1363</v>
      </c>
      <c r="B408" s="30">
        <v>11</v>
      </c>
      <c r="C408" s="10" t="s">
        <v>1334</v>
      </c>
      <c r="D408" s="10" t="s">
        <v>1364</v>
      </c>
      <c r="E408" s="10" t="s">
        <v>2435</v>
      </c>
      <c r="F408" s="10" t="s">
        <v>2436</v>
      </c>
      <c r="G408" s="10"/>
    </row>
    <row r="409" spans="1:7" x14ac:dyDescent="0.3">
      <c r="A409" s="29" t="s">
        <v>1363</v>
      </c>
      <c r="B409" s="30">
        <v>11</v>
      </c>
      <c r="C409" s="10" t="s">
        <v>1334</v>
      </c>
      <c r="D409" s="10" t="s">
        <v>1364</v>
      </c>
      <c r="E409" s="10" t="s">
        <v>2437</v>
      </c>
      <c r="F409" s="10" t="s">
        <v>2438</v>
      </c>
      <c r="G409" s="10"/>
    </row>
    <row r="410" spans="1:7" x14ac:dyDescent="0.3">
      <c r="A410" s="29" t="s">
        <v>1363</v>
      </c>
      <c r="B410" s="30">
        <v>11</v>
      </c>
      <c r="C410" s="10" t="s">
        <v>1334</v>
      </c>
      <c r="D410" s="10" t="s">
        <v>1364</v>
      </c>
      <c r="E410" s="10" t="s">
        <v>2439</v>
      </c>
      <c r="F410" s="10" t="s">
        <v>2440</v>
      </c>
      <c r="G410" s="10"/>
    </row>
    <row r="411" spans="1:7" x14ac:dyDescent="0.3">
      <c r="A411" s="29" t="s">
        <v>1363</v>
      </c>
      <c r="B411" s="30">
        <v>11</v>
      </c>
      <c r="C411" s="10" t="s">
        <v>1334</v>
      </c>
      <c r="D411" s="10" t="s">
        <v>1364</v>
      </c>
      <c r="E411" s="10" t="s">
        <v>2441</v>
      </c>
      <c r="F411" s="10" t="s">
        <v>2442</v>
      </c>
      <c r="G411" s="10"/>
    </row>
    <row r="412" spans="1:7" x14ac:dyDescent="0.3">
      <c r="A412" s="29" t="s">
        <v>1363</v>
      </c>
      <c r="B412" s="30">
        <v>11</v>
      </c>
      <c r="C412" s="10" t="s">
        <v>1334</v>
      </c>
      <c r="D412" s="10" t="s">
        <v>1364</v>
      </c>
      <c r="E412" s="10" t="s">
        <v>2443</v>
      </c>
      <c r="F412" s="10" t="s">
        <v>2444</v>
      </c>
      <c r="G412" s="10"/>
    </row>
    <row r="413" spans="1:7" x14ac:dyDescent="0.3">
      <c r="A413" s="29" t="s">
        <v>1363</v>
      </c>
      <c r="B413" s="30">
        <v>11</v>
      </c>
      <c r="C413" s="10" t="s">
        <v>1334</v>
      </c>
      <c r="D413" s="10" t="s">
        <v>1364</v>
      </c>
      <c r="E413" s="10" t="s">
        <v>2445</v>
      </c>
      <c r="F413" s="10" t="s">
        <v>2446</v>
      </c>
      <c r="G413" s="10" t="s">
        <v>2447</v>
      </c>
    </row>
    <row r="414" spans="1:7" x14ac:dyDescent="0.3">
      <c r="A414" s="29" t="s">
        <v>1363</v>
      </c>
      <c r="B414" s="30">
        <v>11</v>
      </c>
      <c r="C414" s="10" t="s">
        <v>1334</v>
      </c>
      <c r="D414" s="10" t="s">
        <v>1364</v>
      </c>
      <c r="E414" s="10" t="s">
        <v>2448</v>
      </c>
      <c r="F414" s="10" t="s">
        <v>2449</v>
      </c>
      <c r="G414" s="10"/>
    </row>
    <row r="415" spans="1:7" ht="26.4" x14ac:dyDescent="0.3">
      <c r="A415" s="29" t="s">
        <v>1369</v>
      </c>
      <c r="B415" s="30">
        <v>11</v>
      </c>
      <c r="C415" s="10" t="s">
        <v>1334</v>
      </c>
      <c r="D415" s="10" t="s">
        <v>1370</v>
      </c>
      <c r="E415" s="10" t="s">
        <v>2450</v>
      </c>
      <c r="F415" s="10" t="s">
        <v>2451</v>
      </c>
      <c r="G415" s="10"/>
    </row>
    <row r="416" spans="1:7" ht="26.4" x14ac:dyDescent="0.3">
      <c r="A416" s="29" t="s">
        <v>1369</v>
      </c>
      <c r="B416" s="30">
        <v>11</v>
      </c>
      <c r="C416" s="10" t="s">
        <v>1334</v>
      </c>
      <c r="D416" s="10" t="s">
        <v>1370</v>
      </c>
      <c r="E416" s="10" t="s">
        <v>2452</v>
      </c>
      <c r="F416" s="10" t="s">
        <v>2238</v>
      </c>
      <c r="G416" s="10"/>
    </row>
    <row r="417" spans="1:7" ht="26.4" x14ac:dyDescent="0.3">
      <c r="A417" s="29" t="s">
        <v>1369</v>
      </c>
      <c r="B417" s="30">
        <v>11</v>
      </c>
      <c r="C417" s="10" t="s">
        <v>1334</v>
      </c>
      <c r="D417" s="10" t="s">
        <v>1370</v>
      </c>
      <c r="E417" s="10" t="s">
        <v>2453</v>
      </c>
      <c r="F417" s="10" t="s">
        <v>2238</v>
      </c>
      <c r="G417" s="10"/>
    </row>
    <row r="418" spans="1:7" ht="26.4" x14ac:dyDescent="0.3">
      <c r="A418" s="29" t="s">
        <v>1369</v>
      </c>
      <c r="B418" s="30">
        <v>11</v>
      </c>
      <c r="C418" s="10" t="s">
        <v>1334</v>
      </c>
      <c r="D418" s="10" t="s">
        <v>1370</v>
      </c>
      <c r="E418" s="10" t="s">
        <v>2454</v>
      </c>
      <c r="F418" s="10" t="s">
        <v>1940</v>
      </c>
      <c r="G418" s="10"/>
    </row>
    <row r="419" spans="1:7" ht="26.4" x14ac:dyDescent="0.3">
      <c r="A419" s="29" t="s">
        <v>1369</v>
      </c>
      <c r="B419" s="30">
        <v>11</v>
      </c>
      <c r="C419" s="10" t="s">
        <v>1334</v>
      </c>
      <c r="D419" s="10" t="s">
        <v>1370</v>
      </c>
      <c r="E419" s="10" t="s">
        <v>2455</v>
      </c>
      <c r="F419" s="10" t="s">
        <v>2238</v>
      </c>
      <c r="G419" s="10"/>
    </row>
    <row r="420" spans="1:7" ht="26.4" x14ac:dyDescent="0.3">
      <c r="A420" s="29" t="s">
        <v>1369</v>
      </c>
      <c r="B420" s="30">
        <v>11</v>
      </c>
      <c r="C420" s="10" t="s">
        <v>1334</v>
      </c>
      <c r="D420" s="10" t="s">
        <v>1370</v>
      </c>
      <c r="E420" s="10" t="s">
        <v>2456</v>
      </c>
      <c r="F420" s="10" t="s">
        <v>2136</v>
      </c>
      <c r="G420" s="10"/>
    </row>
    <row r="421" spans="1:7" x14ac:dyDescent="0.3">
      <c r="A421" s="29" t="s">
        <v>1376</v>
      </c>
      <c r="B421" s="30">
        <v>11</v>
      </c>
      <c r="C421" s="10" t="s">
        <v>1334</v>
      </c>
      <c r="D421" s="10" t="s">
        <v>1377</v>
      </c>
      <c r="E421" s="10" t="s">
        <v>2457</v>
      </c>
      <c r="F421" s="10" t="s">
        <v>2458</v>
      </c>
      <c r="G421" s="10"/>
    </row>
    <row r="422" spans="1:7" x14ac:dyDescent="0.3">
      <c r="A422" s="29" t="s">
        <v>1376</v>
      </c>
      <c r="B422" s="30">
        <v>11</v>
      </c>
      <c r="C422" s="10" t="s">
        <v>1334</v>
      </c>
      <c r="D422" s="10" t="s">
        <v>1377</v>
      </c>
      <c r="E422" s="10" t="s">
        <v>2459</v>
      </c>
      <c r="F422" s="10" t="s">
        <v>2460</v>
      </c>
      <c r="G422" s="10"/>
    </row>
    <row r="423" spans="1:7" ht="26.4" x14ac:dyDescent="0.3">
      <c r="A423" s="29" t="s">
        <v>1044</v>
      </c>
      <c r="B423" s="30">
        <v>11</v>
      </c>
      <c r="C423" s="10" t="s">
        <v>1384</v>
      </c>
      <c r="D423" s="10" t="s">
        <v>1385</v>
      </c>
      <c r="E423" s="10" t="s">
        <v>2208</v>
      </c>
      <c r="F423" s="10" t="s">
        <v>2461</v>
      </c>
      <c r="G423" s="10"/>
    </row>
    <row r="424" spans="1:7" ht="26.4" x14ac:dyDescent="0.3">
      <c r="A424" s="29" t="s">
        <v>1044</v>
      </c>
      <c r="B424" s="30">
        <v>11</v>
      </c>
      <c r="C424" s="10" t="s">
        <v>1384</v>
      </c>
      <c r="D424" s="10" t="s">
        <v>1385</v>
      </c>
      <c r="E424" s="10" t="s">
        <v>2462</v>
      </c>
      <c r="F424" s="10" t="s">
        <v>2463</v>
      </c>
      <c r="G424" s="10"/>
    </row>
    <row r="425" spans="1:7" ht="26.4" x14ac:dyDescent="0.3">
      <c r="A425" s="29" t="s">
        <v>1044</v>
      </c>
      <c r="B425" s="30">
        <v>11</v>
      </c>
      <c r="C425" s="10" t="s">
        <v>1384</v>
      </c>
      <c r="D425" s="10" t="s">
        <v>1385</v>
      </c>
      <c r="E425" s="10" t="s">
        <v>2464</v>
      </c>
      <c r="F425" s="10" t="s">
        <v>2465</v>
      </c>
      <c r="G425" s="10"/>
    </row>
    <row r="426" spans="1:7" ht="26.4" x14ac:dyDescent="0.3">
      <c r="A426" s="29" t="s">
        <v>1044</v>
      </c>
      <c r="B426" s="30">
        <v>11</v>
      </c>
      <c r="C426" s="10" t="s">
        <v>1384</v>
      </c>
      <c r="D426" s="10" t="s">
        <v>1385</v>
      </c>
      <c r="E426" s="10" t="s">
        <v>2466</v>
      </c>
      <c r="F426" s="10" t="s">
        <v>2078</v>
      </c>
      <c r="G426" s="10"/>
    </row>
    <row r="427" spans="1:7" ht="26.4" x14ac:dyDescent="0.3">
      <c r="A427" s="29" t="s">
        <v>1044</v>
      </c>
      <c r="B427" s="30">
        <v>11</v>
      </c>
      <c r="C427" s="10" t="s">
        <v>1384</v>
      </c>
      <c r="D427" s="10" t="s">
        <v>1385</v>
      </c>
      <c r="E427" s="10" t="s">
        <v>2467</v>
      </c>
      <c r="F427" s="10" t="s">
        <v>2468</v>
      </c>
      <c r="G427" s="10"/>
    </row>
    <row r="428" spans="1:7" ht="26.4" x14ac:dyDescent="0.3">
      <c r="A428" s="29" t="s">
        <v>1044</v>
      </c>
      <c r="B428" s="30">
        <v>11</v>
      </c>
      <c r="C428" s="10" t="s">
        <v>1384</v>
      </c>
      <c r="D428" s="10" t="s">
        <v>1385</v>
      </c>
      <c r="E428" s="10" t="s">
        <v>2469</v>
      </c>
      <c r="F428" s="10" t="s">
        <v>2078</v>
      </c>
      <c r="G428" s="10"/>
    </row>
    <row r="429" spans="1:7" ht="26.4" x14ac:dyDescent="0.3">
      <c r="A429" s="29" t="s">
        <v>1391</v>
      </c>
      <c r="B429" s="30">
        <v>11</v>
      </c>
      <c r="C429" s="10" t="s">
        <v>1384</v>
      </c>
      <c r="D429" s="10" t="s">
        <v>1392</v>
      </c>
      <c r="E429" s="10" t="s">
        <v>2470</v>
      </c>
      <c r="F429" s="10" t="s">
        <v>2471</v>
      </c>
      <c r="G429" s="10"/>
    </row>
    <row r="430" spans="1:7" ht="26.4" x14ac:dyDescent="0.3">
      <c r="A430" s="29" t="s">
        <v>1391</v>
      </c>
      <c r="B430" s="30">
        <v>11</v>
      </c>
      <c r="C430" s="10" t="s">
        <v>1384</v>
      </c>
      <c r="D430" s="10" t="s">
        <v>1392</v>
      </c>
      <c r="E430" s="10" t="s">
        <v>2472</v>
      </c>
      <c r="F430" s="10" t="s">
        <v>2473</v>
      </c>
      <c r="G430" s="10"/>
    </row>
    <row r="431" spans="1:7" ht="26.4" x14ac:dyDescent="0.3">
      <c r="A431" s="29" t="s">
        <v>1391</v>
      </c>
      <c r="B431" s="30">
        <v>11</v>
      </c>
      <c r="C431" s="10" t="s">
        <v>1384</v>
      </c>
      <c r="D431" s="10" t="s">
        <v>1392</v>
      </c>
      <c r="E431" s="10" t="s">
        <v>2474</v>
      </c>
      <c r="F431" s="10" t="s">
        <v>2074</v>
      </c>
      <c r="G431" s="10"/>
    </row>
    <row r="432" spans="1:7" ht="26.4" x14ac:dyDescent="0.3">
      <c r="A432" s="29" t="s">
        <v>1391</v>
      </c>
      <c r="B432" s="30">
        <v>11</v>
      </c>
      <c r="C432" s="10" t="s">
        <v>1384</v>
      </c>
      <c r="D432" s="10" t="s">
        <v>1392</v>
      </c>
      <c r="E432" s="10" t="s">
        <v>2475</v>
      </c>
      <c r="F432" s="10" t="s">
        <v>2476</v>
      </c>
      <c r="G432" s="10"/>
    </row>
    <row r="433" spans="1:7" ht="26.4" x14ac:dyDescent="0.3">
      <c r="A433" s="29" t="s">
        <v>1391</v>
      </c>
      <c r="B433" s="30">
        <v>11</v>
      </c>
      <c r="C433" s="10" t="s">
        <v>1384</v>
      </c>
      <c r="D433" s="10" t="s">
        <v>1392</v>
      </c>
      <c r="E433" s="10" t="s">
        <v>2477</v>
      </c>
      <c r="F433" s="10" t="s">
        <v>2478</v>
      </c>
      <c r="G433" s="10"/>
    </row>
    <row r="434" spans="1:7" ht="26.4" x14ac:dyDescent="0.3">
      <c r="A434" s="29" t="s">
        <v>1398</v>
      </c>
      <c r="B434" s="30">
        <v>11</v>
      </c>
      <c r="C434" s="10" t="s">
        <v>1384</v>
      </c>
      <c r="D434" s="10" t="s">
        <v>1399</v>
      </c>
      <c r="E434" s="10" t="s">
        <v>2479</v>
      </c>
      <c r="F434" s="10" t="s">
        <v>2480</v>
      </c>
      <c r="G434" s="10"/>
    </row>
    <row r="435" spans="1:7" ht="26.4" x14ac:dyDescent="0.3">
      <c r="A435" s="29" t="s">
        <v>1398</v>
      </c>
      <c r="B435" s="30">
        <v>11</v>
      </c>
      <c r="C435" s="10" t="s">
        <v>1384</v>
      </c>
      <c r="D435" s="10" t="s">
        <v>1399</v>
      </c>
      <c r="E435" s="10" t="s">
        <v>2481</v>
      </c>
      <c r="F435" s="10" t="s">
        <v>2482</v>
      </c>
      <c r="G435" s="10"/>
    </row>
    <row r="436" spans="1:7" ht="26.4" x14ac:dyDescent="0.3">
      <c r="A436" s="29" t="s">
        <v>1398</v>
      </c>
      <c r="B436" s="30">
        <v>11</v>
      </c>
      <c r="C436" s="10" t="s">
        <v>1384</v>
      </c>
      <c r="D436" s="10" t="s">
        <v>1399</v>
      </c>
      <c r="E436" s="10" t="s">
        <v>2483</v>
      </c>
      <c r="F436" s="10" t="s">
        <v>2238</v>
      </c>
      <c r="G436" s="10"/>
    </row>
    <row r="437" spans="1:7" ht="26.4" x14ac:dyDescent="0.3">
      <c r="A437" s="29" t="s">
        <v>1398</v>
      </c>
      <c r="B437" s="30">
        <v>11</v>
      </c>
      <c r="C437" s="10" t="s">
        <v>1384</v>
      </c>
      <c r="D437" s="10" t="s">
        <v>1399</v>
      </c>
      <c r="E437" s="10" t="s">
        <v>2484</v>
      </c>
      <c r="F437" s="10" t="s">
        <v>2485</v>
      </c>
      <c r="G437" s="10"/>
    </row>
    <row r="438" spans="1:7" ht="26.4" x14ac:dyDescent="0.3">
      <c r="A438" s="29" t="s">
        <v>1398</v>
      </c>
      <c r="B438" s="30">
        <v>11</v>
      </c>
      <c r="C438" s="10" t="s">
        <v>1384</v>
      </c>
      <c r="D438" s="10" t="s">
        <v>1399</v>
      </c>
      <c r="E438" s="10" t="s">
        <v>2486</v>
      </c>
      <c r="F438" s="10" t="s">
        <v>2487</v>
      </c>
      <c r="G438" s="10"/>
    </row>
    <row r="439" spans="1:7" ht="26.4" x14ac:dyDescent="0.3">
      <c r="A439" s="29" t="s">
        <v>1398</v>
      </c>
      <c r="B439" s="30">
        <v>11</v>
      </c>
      <c r="C439" s="10" t="s">
        <v>1384</v>
      </c>
      <c r="D439" s="10" t="s">
        <v>1399</v>
      </c>
      <c r="E439" s="10" t="s">
        <v>2488</v>
      </c>
      <c r="F439" s="10" t="s">
        <v>2238</v>
      </c>
      <c r="G439" s="10"/>
    </row>
    <row r="440" spans="1:7" ht="26.4" x14ac:dyDescent="0.3">
      <c r="A440" s="29" t="s">
        <v>1405</v>
      </c>
      <c r="B440" s="30">
        <v>11</v>
      </c>
      <c r="C440" s="10" t="s">
        <v>1384</v>
      </c>
      <c r="D440" s="10" t="s">
        <v>1406</v>
      </c>
      <c r="E440" s="10" t="s">
        <v>2489</v>
      </c>
      <c r="F440" s="10" t="s">
        <v>2490</v>
      </c>
      <c r="G440" s="10"/>
    </row>
    <row r="441" spans="1:7" ht="26.4" x14ac:dyDescent="0.3">
      <c r="A441" s="29" t="s">
        <v>1405</v>
      </c>
      <c r="B441" s="30">
        <v>11</v>
      </c>
      <c r="C441" s="10" t="s">
        <v>1384</v>
      </c>
      <c r="D441" s="10" t="s">
        <v>1406</v>
      </c>
      <c r="E441" s="10" t="s">
        <v>2491</v>
      </c>
      <c r="F441" s="10"/>
      <c r="G441" s="10"/>
    </row>
    <row r="442" spans="1:7" ht="26.4" x14ac:dyDescent="0.3">
      <c r="A442" s="29" t="s">
        <v>1405</v>
      </c>
      <c r="B442" s="30">
        <v>11</v>
      </c>
      <c r="C442" s="10" t="s">
        <v>1384</v>
      </c>
      <c r="D442" s="10" t="s">
        <v>1406</v>
      </c>
      <c r="E442" s="10" t="s">
        <v>2492</v>
      </c>
      <c r="F442" s="10"/>
      <c r="G442" s="10"/>
    </row>
    <row r="443" spans="1:7" ht="26.4" x14ac:dyDescent="0.3">
      <c r="A443" s="29" t="s">
        <v>1405</v>
      </c>
      <c r="B443" s="30">
        <v>11</v>
      </c>
      <c r="C443" s="10" t="s">
        <v>1384</v>
      </c>
      <c r="D443" s="10" t="s">
        <v>1406</v>
      </c>
      <c r="E443" s="10" t="s">
        <v>2493</v>
      </c>
      <c r="F443" s="10"/>
      <c r="G443" s="10"/>
    </row>
    <row r="444" spans="1:7" x14ac:dyDescent="0.3">
      <c r="A444" s="29" t="s">
        <v>1412</v>
      </c>
      <c r="B444" s="30">
        <v>11</v>
      </c>
      <c r="C444" s="10" t="s">
        <v>1413</v>
      </c>
      <c r="D444" s="10" t="s">
        <v>467</v>
      </c>
      <c r="E444" s="10" t="s">
        <v>2494</v>
      </c>
      <c r="F444" s="10" t="s">
        <v>2206</v>
      </c>
      <c r="G444" s="10"/>
    </row>
    <row r="445" spans="1:7" x14ac:dyDescent="0.3">
      <c r="A445" s="29" t="s">
        <v>1412</v>
      </c>
      <c r="B445" s="30">
        <v>11</v>
      </c>
      <c r="C445" s="10" t="s">
        <v>1413</v>
      </c>
      <c r="D445" s="10" t="s">
        <v>467</v>
      </c>
      <c r="E445" s="10" t="s">
        <v>2495</v>
      </c>
      <c r="F445" s="10" t="s">
        <v>2496</v>
      </c>
      <c r="G445" s="10"/>
    </row>
    <row r="446" spans="1:7" x14ac:dyDescent="0.3">
      <c r="A446" s="29" t="s">
        <v>1412</v>
      </c>
      <c r="B446" s="30">
        <v>11</v>
      </c>
      <c r="C446" s="10" t="s">
        <v>1413</v>
      </c>
      <c r="D446" s="10" t="s">
        <v>467</v>
      </c>
      <c r="E446" s="10" t="s">
        <v>2497</v>
      </c>
      <c r="F446" s="10" t="s">
        <v>2498</v>
      </c>
      <c r="G446" s="10"/>
    </row>
    <row r="447" spans="1:7" x14ac:dyDescent="0.3">
      <c r="A447" s="29" t="s">
        <v>1412</v>
      </c>
      <c r="B447" s="30">
        <v>11</v>
      </c>
      <c r="C447" s="10" t="s">
        <v>1413</v>
      </c>
      <c r="D447" s="10" t="s">
        <v>467</v>
      </c>
      <c r="E447" s="10" t="s">
        <v>2499</v>
      </c>
      <c r="F447" s="10" t="s">
        <v>2498</v>
      </c>
      <c r="G447" s="10"/>
    </row>
    <row r="448" spans="1:7" x14ac:dyDescent="0.3">
      <c r="A448" s="29" t="s">
        <v>1412</v>
      </c>
      <c r="B448" s="30">
        <v>11</v>
      </c>
      <c r="C448" s="10" t="s">
        <v>1413</v>
      </c>
      <c r="D448" s="10" t="s">
        <v>467</v>
      </c>
      <c r="E448" s="10" t="s">
        <v>2500</v>
      </c>
      <c r="F448" s="10" t="s">
        <v>2498</v>
      </c>
      <c r="G448" s="10"/>
    </row>
    <row r="449" spans="1:7" x14ac:dyDescent="0.3">
      <c r="A449" s="29" t="s">
        <v>1418</v>
      </c>
      <c r="B449" s="30">
        <v>11</v>
      </c>
      <c r="C449" s="10" t="s">
        <v>1413</v>
      </c>
      <c r="D449" s="10" t="s">
        <v>1419</v>
      </c>
      <c r="E449" s="10" t="s">
        <v>2207</v>
      </c>
      <c r="F449" s="10" t="s">
        <v>2238</v>
      </c>
      <c r="G449" s="10"/>
    </row>
    <row r="450" spans="1:7" x14ac:dyDescent="0.3">
      <c r="A450" s="29" t="s">
        <v>1418</v>
      </c>
      <c r="B450" s="30">
        <v>11</v>
      </c>
      <c r="C450" s="10" t="s">
        <v>1413</v>
      </c>
      <c r="D450" s="10" t="s">
        <v>1419</v>
      </c>
      <c r="E450" s="10" t="s">
        <v>2501</v>
      </c>
      <c r="F450" s="10" t="s">
        <v>2502</v>
      </c>
      <c r="G450" s="10"/>
    </row>
    <row r="451" spans="1:7" x14ac:dyDescent="0.3">
      <c r="A451" s="29" t="s">
        <v>1418</v>
      </c>
      <c r="B451" s="30">
        <v>11</v>
      </c>
      <c r="C451" s="10" t="s">
        <v>1413</v>
      </c>
      <c r="D451" s="10" t="s">
        <v>1419</v>
      </c>
      <c r="E451" s="10" t="s">
        <v>2503</v>
      </c>
      <c r="F451" s="10" t="s">
        <v>2238</v>
      </c>
      <c r="G451" s="10"/>
    </row>
    <row r="452" spans="1:7" x14ac:dyDescent="0.3">
      <c r="A452" s="29" t="s">
        <v>1418</v>
      </c>
      <c r="B452" s="30">
        <v>11</v>
      </c>
      <c r="C452" s="10" t="s">
        <v>1413</v>
      </c>
      <c r="D452" s="10" t="s">
        <v>1419</v>
      </c>
      <c r="E452" s="10" t="s">
        <v>2504</v>
      </c>
      <c r="F452" s="10" t="s">
        <v>2238</v>
      </c>
      <c r="G452" s="10"/>
    </row>
    <row r="453" spans="1:7" x14ac:dyDescent="0.3">
      <c r="A453" s="29" t="s">
        <v>1418</v>
      </c>
      <c r="B453" s="30">
        <v>11</v>
      </c>
      <c r="C453" s="10" t="s">
        <v>1413</v>
      </c>
      <c r="D453" s="10" t="s">
        <v>1419</v>
      </c>
      <c r="E453" s="10" t="s">
        <v>2505</v>
      </c>
      <c r="F453" s="10" t="s">
        <v>2238</v>
      </c>
      <c r="G453" s="10"/>
    </row>
    <row r="454" spans="1:7" x14ac:dyDescent="0.3">
      <c r="A454" s="29" t="s">
        <v>1425</v>
      </c>
      <c r="B454" s="30">
        <v>11</v>
      </c>
      <c r="C454" s="10" t="s">
        <v>1413</v>
      </c>
      <c r="D454" s="10" t="s">
        <v>1426</v>
      </c>
      <c r="E454" s="10" t="s">
        <v>2506</v>
      </c>
      <c r="F454" s="10" t="s">
        <v>2507</v>
      </c>
      <c r="G454" s="10"/>
    </row>
    <row r="455" spans="1:7" x14ac:dyDescent="0.3">
      <c r="A455" s="29" t="s">
        <v>1425</v>
      </c>
      <c r="B455" s="30">
        <v>11</v>
      </c>
      <c r="C455" s="10" t="s">
        <v>1413</v>
      </c>
      <c r="D455" s="10" t="s">
        <v>1426</v>
      </c>
      <c r="E455" s="10" t="s">
        <v>2508</v>
      </c>
      <c r="F455" s="10" t="s">
        <v>1940</v>
      </c>
      <c r="G455" s="10"/>
    </row>
    <row r="456" spans="1:7" x14ac:dyDescent="0.3">
      <c r="A456" s="29" t="s">
        <v>1425</v>
      </c>
      <c r="B456" s="30">
        <v>11</v>
      </c>
      <c r="C456" s="10" t="s">
        <v>1413</v>
      </c>
      <c r="D456" s="10" t="s">
        <v>1426</v>
      </c>
      <c r="E456" s="10" t="s">
        <v>2509</v>
      </c>
      <c r="F456" s="10" t="s">
        <v>2510</v>
      </c>
      <c r="G456" s="10"/>
    </row>
    <row r="457" spans="1:7" x14ac:dyDescent="0.3">
      <c r="A457" s="29" t="s">
        <v>1425</v>
      </c>
      <c r="B457" s="30">
        <v>11</v>
      </c>
      <c r="C457" s="10" t="s">
        <v>1413</v>
      </c>
      <c r="D457" s="10" t="s">
        <v>1426</v>
      </c>
      <c r="E457" s="10" t="s">
        <v>2511</v>
      </c>
      <c r="F457" s="10" t="s">
        <v>1940</v>
      </c>
      <c r="G457" s="10"/>
    </row>
    <row r="458" spans="1:7" x14ac:dyDescent="0.3">
      <c r="A458" s="29" t="s">
        <v>1425</v>
      </c>
      <c r="B458" s="30">
        <v>11</v>
      </c>
      <c r="C458" s="10" t="s">
        <v>1413</v>
      </c>
      <c r="D458" s="10" t="s">
        <v>1426</v>
      </c>
      <c r="E458" s="10" t="s">
        <v>2512</v>
      </c>
      <c r="F458" s="10"/>
      <c r="G458" s="10"/>
    </row>
    <row r="459" spans="1:7" x14ac:dyDescent="0.3">
      <c r="A459" s="29" t="s">
        <v>1431</v>
      </c>
      <c r="B459" s="30">
        <v>11</v>
      </c>
      <c r="C459" s="10" t="s">
        <v>1413</v>
      </c>
      <c r="D459" s="10" t="s">
        <v>1432</v>
      </c>
      <c r="E459" s="10" t="s">
        <v>2513</v>
      </c>
      <c r="F459" s="10" t="s">
        <v>2514</v>
      </c>
      <c r="G459" s="10"/>
    </row>
    <row r="460" spans="1:7" x14ac:dyDescent="0.3">
      <c r="A460" s="29" t="s">
        <v>1431</v>
      </c>
      <c r="B460" s="30">
        <v>11</v>
      </c>
      <c r="C460" s="10" t="s">
        <v>1413</v>
      </c>
      <c r="D460" s="10" t="s">
        <v>1432</v>
      </c>
      <c r="E460" s="10" t="s">
        <v>2515</v>
      </c>
      <c r="F460" s="10" t="s">
        <v>2516</v>
      </c>
      <c r="G460" s="10"/>
    </row>
    <row r="461" spans="1:7" x14ac:dyDescent="0.3">
      <c r="A461" s="29" t="s">
        <v>1431</v>
      </c>
      <c r="B461" s="30">
        <v>11</v>
      </c>
      <c r="C461" s="10" t="s">
        <v>1413</v>
      </c>
      <c r="D461" s="10" t="s">
        <v>1432</v>
      </c>
      <c r="E461" s="10" t="s">
        <v>2517</v>
      </c>
      <c r="F461" s="10" t="s">
        <v>2516</v>
      </c>
      <c r="G461" s="10"/>
    </row>
    <row r="462" spans="1:7" x14ac:dyDescent="0.3">
      <c r="A462" s="29" t="s">
        <v>1431</v>
      </c>
      <c r="B462" s="30">
        <v>11</v>
      </c>
      <c r="C462" s="10" t="s">
        <v>1413</v>
      </c>
      <c r="D462" s="10" t="s">
        <v>1432</v>
      </c>
      <c r="E462" s="10" t="s">
        <v>2518</v>
      </c>
      <c r="F462" s="10" t="s">
        <v>2519</v>
      </c>
      <c r="G462" s="10"/>
    </row>
    <row r="463" spans="1:7" x14ac:dyDescent="0.3">
      <c r="A463" s="29" t="s">
        <v>1431</v>
      </c>
      <c r="B463" s="30">
        <v>11</v>
      </c>
      <c r="C463" s="10" t="s">
        <v>1413</v>
      </c>
      <c r="D463" s="10" t="s">
        <v>1432</v>
      </c>
      <c r="E463" s="10" t="s">
        <v>2520</v>
      </c>
      <c r="F463" s="10" t="s">
        <v>2330</v>
      </c>
      <c r="G463" s="10"/>
    </row>
    <row r="464" spans="1:7" x14ac:dyDescent="0.3">
      <c r="A464" s="29" t="s">
        <v>1438</v>
      </c>
      <c r="B464" s="30">
        <v>11</v>
      </c>
      <c r="C464" s="10" t="s">
        <v>1413</v>
      </c>
      <c r="D464" s="10" t="s">
        <v>1439</v>
      </c>
      <c r="E464" s="10" t="s">
        <v>2521</v>
      </c>
      <c r="F464" s="10" t="s">
        <v>2522</v>
      </c>
      <c r="G464" s="10"/>
    </row>
    <row r="465" spans="1:7" x14ac:dyDescent="0.3">
      <c r="A465" s="29" t="s">
        <v>1438</v>
      </c>
      <c r="B465" s="30">
        <v>11</v>
      </c>
      <c r="C465" s="10" t="s">
        <v>1413</v>
      </c>
      <c r="D465" s="10" t="s">
        <v>1439</v>
      </c>
      <c r="E465" s="10" t="s">
        <v>2523</v>
      </c>
      <c r="F465" s="10" t="s">
        <v>2524</v>
      </c>
      <c r="G465" s="10"/>
    </row>
    <row r="466" spans="1:7" x14ac:dyDescent="0.3">
      <c r="A466" s="29" t="s">
        <v>1438</v>
      </c>
      <c r="B466" s="30">
        <v>11</v>
      </c>
      <c r="C466" s="10" t="s">
        <v>1413</v>
      </c>
      <c r="D466" s="10" t="s">
        <v>1439</v>
      </c>
      <c r="E466" s="10" t="s">
        <v>2525</v>
      </c>
      <c r="F466" s="10" t="s">
        <v>1942</v>
      </c>
      <c r="G466" s="10"/>
    </row>
    <row r="467" spans="1:7" x14ac:dyDescent="0.3">
      <c r="A467" s="29" t="s">
        <v>1438</v>
      </c>
      <c r="B467" s="30">
        <v>11</v>
      </c>
      <c r="C467" s="10" t="s">
        <v>1413</v>
      </c>
      <c r="D467" s="10" t="s">
        <v>1439</v>
      </c>
      <c r="E467" s="10" t="s">
        <v>2526</v>
      </c>
      <c r="F467" s="10"/>
      <c r="G467" s="10"/>
    </row>
    <row r="468" spans="1:7" x14ac:dyDescent="0.3">
      <c r="A468" s="29" t="s">
        <v>1438</v>
      </c>
      <c r="B468" s="30">
        <v>11</v>
      </c>
      <c r="C468" s="10" t="s">
        <v>1413</v>
      </c>
      <c r="D468" s="10" t="s">
        <v>1439</v>
      </c>
      <c r="E468" s="10" t="s">
        <v>2527</v>
      </c>
      <c r="F468" s="10" t="s">
        <v>2238</v>
      </c>
      <c r="G468" s="10"/>
    </row>
    <row r="469" spans="1:7" x14ac:dyDescent="0.3">
      <c r="A469" s="29" t="s">
        <v>1445</v>
      </c>
      <c r="B469" s="30">
        <v>11</v>
      </c>
      <c r="C469" s="10" t="s">
        <v>1413</v>
      </c>
      <c r="D469" s="10" t="s">
        <v>1446</v>
      </c>
      <c r="E469" s="10" t="s">
        <v>2528</v>
      </c>
      <c r="F469" s="10" t="s">
        <v>2529</v>
      </c>
      <c r="G469" s="10"/>
    </row>
    <row r="470" spans="1:7" x14ac:dyDescent="0.3">
      <c r="A470" s="29" t="s">
        <v>1445</v>
      </c>
      <c r="B470" s="30">
        <v>11</v>
      </c>
      <c r="C470" s="10" t="s">
        <v>1413</v>
      </c>
      <c r="D470" s="10" t="s">
        <v>1446</v>
      </c>
      <c r="E470" s="10" t="s">
        <v>2530</v>
      </c>
      <c r="F470" s="10" t="s">
        <v>2531</v>
      </c>
      <c r="G470" s="10"/>
    </row>
    <row r="471" spans="1:7" x14ac:dyDescent="0.3">
      <c r="A471" s="29" t="s">
        <v>1445</v>
      </c>
      <c r="B471" s="30">
        <v>11</v>
      </c>
      <c r="C471" s="10" t="s">
        <v>1413</v>
      </c>
      <c r="D471" s="10" t="s">
        <v>1446</v>
      </c>
      <c r="E471" s="10" t="s">
        <v>2532</v>
      </c>
      <c r="F471" s="10"/>
      <c r="G471" s="10"/>
    </row>
    <row r="472" spans="1:7" x14ac:dyDescent="0.3">
      <c r="A472" s="29" t="s">
        <v>1445</v>
      </c>
      <c r="B472" s="30">
        <v>11</v>
      </c>
      <c r="C472" s="10" t="s">
        <v>1413</v>
      </c>
      <c r="D472" s="10" t="s">
        <v>1446</v>
      </c>
      <c r="E472" s="10" t="s">
        <v>2533</v>
      </c>
      <c r="F472" s="10" t="s">
        <v>2330</v>
      </c>
      <c r="G472" s="10"/>
    </row>
    <row r="473" spans="1:7" ht="26.4" x14ac:dyDescent="0.3">
      <c r="A473" s="29" t="s">
        <v>688</v>
      </c>
      <c r="B473" s="30">
        <v>11</v>
      </c>
      <c r="C473" s="10" t="s">
        <v>1413</v>
      </c>
      <c r="D473" s="10" t="s">
        <v>1453</v>
      </c>
      <c r="E473" s="10" t="s">
        <v>2052</v>
      </c>
      <c r="F473" s="10" t="s">
        <v>2534</v>
      </c>
      <c r="G473" s="10"/>
    </row>
    <row r="474" spans="1:7" ht="26.4" x14ac:dyDescent="0.3">
      <c r="A474" s="29" t="s">
        <v>688</v>
      </c>
      <c r="B474" s="30">
        <v>11</v>
      </c>
      <c r="C474" s="10" t="s">
        <v>1413</v>
      </c>
      <c r="D474" s="10" t="s">
        <v>1453</v>
      </c>
      <c r="E474" s="10" t="s">
        <v>2535</v>
      </c>
      <c r="F474" s="10" t="s">
        <v>2330</v>
      </c>
      <c r="G474" s="10"/>
    </row>
    <row r="475" spans="1:7" ht="26.4" x14ac:dyDescent="0.3">
      <c r="A475" s="29" t="s">
        <v>688</v>
      </c>
      <c r="B475" s="30">
        <v>11</v>
      </c>
      <c r="C475" s="10" t="s">
        <v>1413</v>
      </c>
      <c r="D475" s="10" t="s">
        <v>1453</v>
      </c>
      <c r="E475" s="10" t="s">
        <v>2319</v>
      </c>
      <c r="F475" s="10" t="s">
        <v>2516</v>
      </c>
      <c r="G475" s="10"/>
    </row>
    <row r="476" spans="1:7" ht="26.4" x14ac:dyDescent="0.3">
      <c r="A476" s="29" t="s">
        <v>688</v>
      </c>
      <c r="B476" s="30">
        <v>11</v>
      </c>
      <c r="C476" s="10" t="s">
        <v>1413</v>
      </c>
      <c r="D476" s="10" t="s">
        <v>1453</v>
      </c>
      <c r="E476" s="10" t="s">
        <v>2536</v>
      </c>
      <c r="F476" s="10" t="s">
        <v>2537</v>
      </c>
      <c r="G476" s="10"/>
    </row>
    <row r="477" spans="1:7" ht="26.4" x14ac:dyDescent="0.3">
      <c r="A477" s="29" t="s">
        <v>688</v>
      </c>
      <c r="B477" s="30">
        <v>11</v>
      </c>
      <c r="C477" s="10" t="s">
        <v>1413</v>
      </c>
      <c r="D477" s="10" t="s">
        <v>1453</v>
      </c>
      <c r="E477" s="10" t="s">
        <v>2538</v>
      </c>
      <c r="F477" s="10" t="s">
        <v>2539</v>
      </c>
      <c r="G477" s="10"/>
    </row>
    <row r="478" spans="1:7" x14ac:dyDescent="0.3">
      <c r="A478" s="29" t="s">
        <v>1459</v>
      </c>
      <c r="B478" s="30">
        <v>11</v>
      </c>
      <c r="C478" s="10" t="s">
        <v>1413</v>
      </c>
      <c r="D478" s="10" t="s">
        <v>1460</v>
      </c>
      <c r="E478" s="10" t="s">
        <v>2540</v>
      </c>
      <c r="F478" s="10" t="s">
        <v>2541</v>
      </c>
      <c r="G478" s="10"/>
    </row>
    <row r="479" spans="1:7" x14ac:dyDescent="0.3">
      <c r="A479" s="29" t="s">
        <v>1459</v>
      </c>
      <c r="B479" s="30">
        <v>11</v>
      </c>
      <c r="C479" s="10" t="s">
        <v>1413</v>
      </c>
      <c r="D479" s="10" t="s">
        <v>1460</v>
      </c>
      <c r="E479" s="10" t="s">
        <v>2542</v>
      </c>
      <c r="F479" s="10" t="s">
        <v>2543</v>
      </c>
      <c r="G479" s="10"/>
    </row>
    <row r="480" spans="1:7" x14ac:dyDescent="0.3">
      <c r="A480" s="29" t="s">
        <v>1459</v>
      </c>
      <c r="B480" s="30">
        <v>11</v>
      </c>
      <c r="C480" s="10" t="s">
        <v>1413</v>
      </c>
      <c r="D480" s="10" t="s">
        <v>1460</v>
      </c>
      <c r="E480" s="10" t="s">
        <v>2052</v>
      </c>
      <c r="F480" s="10" t="s">
        <v>2544</v>
      </c>
      <c r="G480" s="10"/>
    </row>
    <row r="481" spans="1:7" x14ac:dyDescent="0.3">
      <c r="A481" s="29" t="s">
        <v>1459</v>
      </c>
      <c r="B481" s="30">
        <v>11</v>
      </c>
      <c r="C481" s="10" t="s">
        <v>1413</v>
      </c>
      <c r="D481" s="10" t="s">
        <v>1460</v>
      </c>
      <c r="E481" s="10" t="s">
        <v>2545</v>
      </c>
      <c r="F481" s="10" t="s">
        <v>2330</v>
      </c>
      <c r="G481" s="10"/>
    </row>
    <row r="482" spans="1:7" x14ac:dyDescent="0.3">
      <c r="A482" s="29" t="s">
        <v>1467</v>
      </c>
      <c r="B482" s="30">
        <v>11</v>
      </c>
      <c r="C482" s="10" t="s">
        <v>1468</v>
      </c>
      <c r="D482" s="10" t="s">
        <v>1469</v>
      </c>
      <c r="E482" s="10" t="s">
        <v>2546</v>
      </c>
      <c r="F482" s="10"/>
      <c r="G482" s="10"/>
    </row>
    <row r="483" spans="1:7" x14ac:dyDescent="0.3">
      <c r="A483" s="29" t="s">
        <v>1467</v>
      </c>
      <c r="B483" s="30">
        <v>11</v>
      </c>
      <c r="C483" s="10" t="s">
        <v>1468</v>
      </c>
      <c r="D483" s="10" t="s">
        <v>1469</v>
      </c>
      <c r="E483" s="10" t="s">
        <v>2547</v>
      </c>
      <c r="F483" s="10" t="s">
        <v>2548</v>
      </c>
      <c r="G483" s="10"/>
    </row>
    <row r="484" spans="1:7" x14ac:dyDescent="0.3">
      <c r="A484" s="29" t="s">
        <v>1467</v>
      </c>
      <c r="B484" s="30">
        <v>11</v>
      </c>
      <c r="C484" s="10" t="s">
        <v>1468</v>
      </c>
      <c r="D484" s="10" t="s">
        <v>1469</v>
      </c>
      <c r="E484" s="10" t="s">
        <v>2549</v>
      </c>
      <c r="F484" s="10" t="s">
        <v>2550</v>
      </c>
      <c r="G484" s="10"/>
    </row>
    <row r="485" spans="1:7" x14ac:dyDescent="0.3">
      <c r="A485" s="29" t="s">
        <v>1467</v>
      </c>
      <c r="B485" s="30">
        <v>11</v>
      </c>
      <c r="C485" s="10" t="s">
        <v>1468</v>
      </c>
      <c r="D485" s="10" t="s">
        <v>1469</v>
      </c>
      <c r="E485" s="10" t="s">
        <v>2551</v>
      </c>
      <c r="F485" s="10" t="s">
        <v>2552</v>
      </c>
      <c r="G485" s="10"/>
    </row>
    <row r="486" spans="1:7" x14ac:dyDescent="0.3">
      <c r="A486" s="29" t="s">
        <v>1467</v>
      </c>
      <c r="B486" s="30">
        <v>11</v>
      </c>
      <c r="C486" s="10" t="s">
        <v>1468</v>
      </c>
      <c r="D486" s="10" t="s">
        <v>1469</v>
      </c>
      <c r="E486" s="10" t="s">
        <v>2553</v>
      </c>
      <c r="F486" s="10" t="s">
        <v>2554</v>
      </c>
      <c r="G486" s="10"/>
    </row>
    <row r="487" spans="1:7" ht="26.4" x14ac:dyDescent="0.3">
      <c r="A487" s="29" t="s">
        <v>1475</v>
      </c>
      <c r="B487" s="30">
        <v>11</v>
      </c>
      <c r="C487" s="10" t="s">
        <v>1468</v>
      </c>
      <c r="D487" s="10" t="s">
        <v>1476</v>
      </c>
      <c r="E487" s="10" t="s">
        <v>2555</v>
      </c>
      <c r="F487" s="10" t="s">
        <v>2556</v>
      </c>
      <c r="G487" s="10"/>
    </row>
    <row r="488" spans="1:7" x14ac:dyDescent="0.3">
      <c r="A488" s="29" t="s">
        <v>1482</v>
      </c>
      <c r="B488" s="30">
        <v>11</v>
      </c>
      <c r="C488" s="10" t="s">
        <v>1468</v>
      </c>
      <c r="D488" s="10" t="s">
        <v>1483</v>
      </c>
      <c r="E488" s="10" t="s">
        <v>2557</v>
      </c>
      <c r="F488" s="10" t="s">
        <v>2558</v>
      </c>
      <c r="G488" s="10"/>
    </row>
    <row r="489" spans="1:7" x14ac:dyDescent="0.3">
      <c r="A489" s="29" t="s">
        <v>1482</v>
      </c>
      <c r="B489" s="30">
        <v>11</v>
      </c>
      <c r="C489" s="10" t="s">
        <v>1468</v>
      </c>
      <c r="D489" s="10" t="s">
        <v>1483</v>
      </c>
      <c r="E489" s="10" t="s">
        <v>2559</v>
      </c>
      <c r="F489" s="10" t="s">
        <v>2560</v>
      </c>
      <c r="G489" s="10"/>
    </row>
    <row r="490" spans="1:7" x14ac:dyDescent="0.3">
      <c r="A490" s="29" t="s">
        <v>1482</v>
      </c>
      <c r="B490" s="30">
        <v>11</v>
      </c>
      <c r="C490" s="10" t="s">
        <v>1468</v>
      </c>
      <c r="D490" s="10" t="s">
        <v>1483</v>
      </c>
      <c r="E490" s="10" t="s">
        <v>2561</v>
      </c>
      <c r="F490" s="10" t="s">
        <v>2562</v>
      </c>
      <c r="G490" s="10"/>
    </row>
    <row r="491" spans="1:7" x14ac:dyDescent="0.3">
      <c r="A491" s="29" t="s">
        <v>1482</v>
      </c>
      <c r="B491" s="30">
        <v>11</v>
      </c>
      <c r="C491" s="10" t="s">
        <v>1468</v>
      </c>
      <c r="D491" s="10" t="s">
        <v>1483</v>
      </c>
      <c r="E491" s="10" t="s">
        <v>2563</v>
      </c>
      <c r="F491" s="10" t="s">
        <v>2564</v>
      </c>
      <c r="G491" s="10"/>
    </row>
    <row r="492" spans="1:7" x14ac:dyDescent="0.3">
      <c r="A492" s="29" t="s">
        <v>1482</v>
      </c>
      <c r="B492" s="30">
        <v>11</v>
      </c>
      <c r="C492" s="10" t="s">
        <v>1468</v>
      </c>
      <c r="D492" s="10" t="s">
        <v>1483</v>
      </c>
      <c r="E492" s="10" t="s">
        <v>2565</v>
      </c>
      <c r="F492" s="10" t="s">
        <v>2566</v>
      </c>
      <c r="G492" s="10"/>
    </row>
    <row r="493" spans="1:7" x14ac:dyDescent="0.3">
      <c r="A493" s="29" t="s">
        <v>1482</v>
      </c>
      <c r="B493" s="30">
        <v>11</v>
      </c>
      <c r="C493" s="10" t="s">
        <v>1468</v>
      </c>
      <c r="D493" s="10" t="s">
        <v>1483</v>
      </c>
      <c r="E493" s="10" t="s">
        <v>2567</v>
      </c>
      <c r="F493" s="10" t="s">
        <v>1940</v>
      </c>
      <c r="G493" s="10"/>
    </row>
    <row r="494" spans="1:7" ht="26.4" x14ac:dyDescent="0.3">
      <c r="A494" s="29" t="s">
        <v>1489</v>
      </c>
      <c r="B494" s="30">
        <v>11</v>
      </c>
      <c r="C494" s="10" t="s">
        <v>1468</v>
      </c>
      <c r="D494" s="10" t="s">
        <v>1490</v>
      </c>
      <c r="E494" s="10" t="s">
        <v>2568</v>
      </c>
      <c r="F494" s="10" t="s">
        <v>2569</v>
      </c>
      <c r="G494" s="10"/>
    </row>
    <row r="495" spans="1:7" ht="26.4" x14ac:dyDescent="0.3">
      <c r="A495" s="29" t="s">
        <v>1489</v>
      </c>
      <c r="B495" s="30">
        <v>11</v>
      </c>
      <c r="C495" s="10" t="s">
        <v>1468</v>
      </c>
      <c r="D495" s="10" t="s">
        <v>1490</v>
      </c>
      <c r="E495" s="10" t="s">
        <v>2570</v>
      </c>
      <c r="F495" s="10" t="s">
        <v>2571</v>
      </c>
      <c r="G495" s="10"/>
    </row>
    <row r="496" spans="1:7" ht="26.4" x14ac:dyDescent="0.3">
      <c r="A496" s="29" t="s">
        <v>1489</v>
      </c>
      <c r="B496" s="30">
        <v>11</v>
      </c>
      <c r="C496" s="10" t="s">
        <v>1468</v>
      </c>
      <c r="D496" s="10" t="s">
        <v>1490</v>
      </c>
      <c r="E496" s="10" t="s">
        <v>2572</v>
      </c>
      <c r="F496" s="10" t="s">
        <v>2573</v>
      </c>
      <c r="G496" s="10"/>
    </row>
    <row r="497" spans="1:7" ht="26.4" x14ac:dyDescent="0.3">
      <c r="A497" s="29" t="s">
        <v>1489</v>
      </c>
      <c r="B497" s="30">
        <v>11</v>
      </c>
      <c r="C497" s="10" t="s">
        <v>1468</v>
      </c>
      <c r="D497" s="10" t="s">
        <v>1490</v>
      </c>
      <c r="E497" s="10" t="s">
        <v>2574</v>
      </c>
      <c r="F497" s="10"/>
      <c r="G497" s="10"/>
    </row>
    <row r="498" spans="1:7" ht="26.4" x14ac:dyDescent="0.3">
      <c r="A498" s="29" t="s">
        <v>1489</v>
      </c>
      <c r="B498" s="30">
        <v>11</v>
      </c>
      <c r="C498" s="10" t="s">
        <v>1468</v>
      </c>
      <c r="D498" s="10" t="s">
        <v>1490</v>
      </c>
      <c r="E498" s="10" t="s">
        <v>2575</v>
      </c>
      <c r="F498" s="10" t="s">
        <v>2576</v>
      </c>
      <c r="G498" s="10"/>
    </row>
    <row r="499" spans="1:7" ht="26.4" x14ac:dyDescent="0.3">
      <c r="A499" s="29" t="s">
        <v>1489</v>
      </c>
      <c r="B499" s="30">
        <v>11</v>
      </c>
      <c r="C499" s="10" t="s">
        <v>1468</v>
      </c>
      <c r="D499" s="10" t="s">
        <v>1490</v>
      </c>
      <c r="E499" s="10" t="s">
        <v>2577</v>
      </c>
      <c r="F499" s="10" t="s">
        <v>2578</v>
      </c>
      <c r="G499" s="10"/>
    </row>
    <row r="500" spans="1:7" x14ac:dyDescent="0.3">
      <c r="A500" s="31" t="s">
        <v>1497</v>
      </c>
      <c r="B500" s="32">
        <v>12</v>
      </c>
      <c r="C500" s="10" t="s">
        <v>1498</v>
      </c>
      <c r="D500" s="10" t="s">
        <v>1499</v>
      </c>
      <c r="E500" s="10" t="s">
        <v>2579</v>
      </c>
      <c r="F500" s="10" t="s">
        <v>2580</v>
      </c>
      <c r="G500" s="10"/>
    </row>
    <row r="501" spans="1:7" x14ac:dyDescent="0.3">
      <c r="A501" s="31" t="s">
        <v>1497</v>
      </c>
      <c r="B501" s="32">
        <v>12</v>
      </c>
      <c r="C501" s="10" t="s">
        <v>1498</v>
      </c>
      <c r="D501" s="10" t="s">
        <v>1499</v>
      </c>
      <c r="E501" s="10" t="s">
        <v>2581</v>
      </c>
      <c r="F501" s="10" t="s">
        <v>2582</v>
      </c>
      <c r="G501" s="10"/>
    </row>
    <row r="502" spans="1:7" x14ac:dyDescent="0.3">
      <c r="A502" s="31" t="s">
        <v>1497</v>
      </c>
      <c r="B502" s="32">
        <v>12</v>
      </c>
      <c r="C502" s="10" t="s">
        <v>1498</v>
      </c>
      <c r="D502" s="10" t="s">
        <v>1499</v>
      </c>
      <c r="E502" s="10" t="s">
        <v>2583</v>
      </c>
      <c r="F502" s="10"/>
      <c r="G502" s="10"/>
    </row>
    <row r="503" spans="1:7" x14ac:dyDescent="0.3">
      <c r="A503" s="31" t="s">
        <v>1497</v>
      </c>
      <c r="B503" s="32">
        <v>12</v>
      </c>
      <c r="C503" s="10" t="s">
        <v>1498</v>
      </c>
      <c r="D503" s="10" t="s">
        <v>1499</v>
      </c>
      <c r="E503" s="10" t="s">
        <v>2584</v>
      </c>
      <c r="F503" s="10"/>
      <c r="G503" s="10"/>
    </row>
    <row r="504" spans="1:7" x14ac:dyDescent="0.3">
      <c r="A504" s="31" t="s">
        <v>1497</v>
      </c>
      <c r="B504" s="32">
        <v>12</v>
      </c>
      <c r="C504" s="10" t="s">
        <v>1498</v>
      </c>
      <c r="D504" s="10" t="s">
        <v>1499</v>
      </c>
      <c r="E504" s="10" t="s">
        <v>2585</v>
      </c>
      <c r="F504" s="10" t="s">
        <v>2586</v>
      </c>
      <c r="G504" s="10"/>
    </row>
    <row r="505" spans="1:7" x14ac:dyDescent="0.3">
      <c r="A505" s="31" t="s">
        <v>1497</v>
      </c>
      <c r="B505" s="32">
        <v>12</v>
      </c>
      <c r="C505" s="10" t="s">
        <v>1498</v>
      </c>
      <c r="D505" s="10" t="s">
        <v>1499</v>
      </c>
      <c r="E505" s="10" t="s">
        <v>2587</v>
      </c>
      <c r="F505" s="10" t="s">
        <v>2588</v>
      </c>
      <c r="G505" s="10"/>
    </row>
    <row r="506" spans="1:7" x14ac:dyDescent="0.3">
      <c r="A506" s="31" t="s">
        <v>1497</v>
      </c>
      <c r="B506" s="32">
        <v>12</v>
      </c>
      <c r="C506" s="10" t="s">
        <v>1498</v>
      </c>
      <c r="D506" s="10" t="s">
        <v>1499</v>
      </c>
      <c r="E506" s="10" t="s">
        <v>2589</v>
      </c>
      <c r="F506" s="10" t="s">
        <v>2590</v>
      </c>
      <c r="G506" s="10"/>
    </row>
    <row r="507" spans="1:7" x14ac:dyDescent="0.3">
      <c r="A507" s="31" t="s">
        <v>1497</v>
      </c>
      <c r="B507" s="32">
        <v>12</v>
      </c>
      <c r="C507" s="10" t="s">
        <v>1498</v>
      </c>
      <c r="D507" s="10" t="s">
        <v>1499</v>
      </c>
      <c r="E507" s="10" t="s">
        <v>2591</v>
      </c>
      <c r="F507" s="10" t="s">
        <v>2592</v>
      </c>
      <c r="G507" s="10"/>
    </row>
    <row r="508" spans="1:7" x14ac:dyDescent="0.3">
      <c r="A508" s="31" t="s">
        <v>1497</v>
      </c>
      <c r="B508" s="32">
        <v>12</v>
      </c>
      <c r="C508" s="10" t="s">
        <v>1498</v>
      </c>
      <c r="D508" s="10" t="s">
        <v>1499</v>
      </c>
      <c r="E508" s="10" t="s">
        <v>2593</v>
      </c>
      <c r="F508" s="10"/>
      <c r="G508" s="10"/>
    </row>
    <row r="509" spans="1:7" x14ac:dyDescent="0.3">
      <c r="A509" s="31" t="s">
        <v>1497</v>
      </c>
      <c r="B509" s="32">
        <v>12</v>
      </c>
      <c r="C509" s="10" t="s">
        <v>1498</v>
      </c>
      <c r="D509" s="10" t="s">
        <v>1499</v>
      </c>
      <c r="E509" s="10" t="s">
        <v>2594</v>
      </c>
      <c r="F509" s="10" t="s">
        <v>2595</v>
      </c>
      <c r="G509" s="10"/>
    </row>
    <row r="510" spans="1:7" x14ac:dyDescent="0.3">
      <c r="A510" s="31" t="s">
        <v>1505</v>
      </c>
      <c r="B510" s="32">
        <v>12</v>
      </c>
      <c r="C510" s="10" t="s">
        <v>1498</v>
      </c>
      <c r="D510" s="10" t="s">
        <v>1506</v>
      </c>
      <c r="E510" s="10" t="s">
        <v>2596</v>
      </c>
      <c r="F510" s="10" t="s">
        <v>2597</v>
      </c>
      <c r="G510" s="10"/>
    </row>
    <row r="511" spans="1:7" x14ac:dyDescent="0.3">
      <c r="A511" s="31" t="s">
        <v>1505</v>
      </c>
      <c r="B511" s="32">
        <v>12</v>
      </c>
      <c r="C511" s="10" t="s">
        <v>1498</v>
      </c>
      <c r="D511" s="10" t="s">
        <v>1506</v>
      </c>
      <c r="E511" s="10" t="s">
        <v>2598</v>
      </c>
      <c r="F511" s="10" t="s">
        <v>2599</v>
      </c>
      <c r="G511" s="10"/>
    </row>
    <row r="512" spans="1:7" x14ac:dyDescent="0.3">
      <c r="A512" s="31" t="s">
        <v>1505</v>
      </c>
      <c r="B512" s="32">
        <v>12</v>
      </c>
      <c r="C512" s="10" t="s">
        <v>1498</v>
      </c>
      <c r="D512" s="10" t="s">
        <v>1506</v>
      </c>
      <c r="E512" s="10" t="s">
        <v>2600</v>
      </c>
      <c r="F512" s="10" t="s">
        <v>2601</v>
      </c>
      <c r="G512" s="10"/>
    </row>
    <row r="513" spans="1:7" x14ac:dyDescent="0.3">
      <c r="A513" s="31" t="s">
        <v>1505</v>
      </c>
      <c r="B513" s="32">
        <v>12</v>
      </c>
      <c r="C513" s="10" t="s">
        <v>1498</v>
      </c>
      <c r="D513" s="10" t="s">
        <v>1506</v>
      </c>
      <c r="E513" s="10" t="s">
        <v>2602</v>
      </c>
      <c r="F513" s="10" t="s">
        <v>2603</v>
      </c>
      <c r="G513" s="10"/>
    </row>
    <row r="514" spans="1:7" x14ac:dyDescent="0.3">
      <c r="A514" s="31" t="s">
        <v>1505</v>
      </c>
      <c r="B514" s="32">
        <v>12</v>
      </c>
      <c r="C514" s="10" t="s">
        <v>1498</v>
      </c>
      <c r="D514" s="10" t="s">
        <v>1506</v>
      </c>
      <c r="E514" s="10" t="s">
        <v>2604</v>
      </c>
      <c r="F514" s="10" t="s">
        <v>1940</v>
      </c>
      <c r="G514" s="10"/>
    </row>
    <row r="515" spans="1:7" x14ac:dyDescent="0.3">
      <c r="A515" s="31" t="s">
        <v>1505</v>
      </c>
      <c r="B515" s="32">
        <v>12</v>
      </c>
      <c r="C515" s="10" t="s">
        <v>1498</v>
      </c>
      <c r="D515" s="10" t="s">
        <v>1506</v>
      </c>
      <c r="E515" s="10" t="s">
        <v>2605</v>
      </c>
      <c r="F515" s="10" t="s">
        <v>2606</v>
      </c>
      <c r="G515" s="10"/>
    </row>
    <row r="516" spans="1:7" x14ac:dyDescent="0.3">
      <c r="A516" s="31" t="s">
        <v>1505</v>
      </c>
      <c r="B516" s="32">
        <v>12</v>
      </c>
      <c r="C516" s="10" t="s">
        <v>1498</v>
      </c>
      <c r="D516" s="10" t="s">
        <v>1506</v>
      </c>
      <c r="E516" s="10" t="s">
        <v>2607</v>
      </c>
      <c r="F516" s="10" t="s">
        <v>2608</v>
      </c>
      <c r="G516" s="10"/>
    </row>
    <row r="517" spans="1:7" x14ac:dyDescent="0.3">
      <c r="A517" s="31" t="s">
        <v>1505</v>
      </c>
      <c r="B517" s="32">
        <v>12</v>
      </c>
      <c r="C517" s="10" t="s">
        <v>1498</v>
      </c>
      <c r="D517" s="10" t="s">
        <v>1506</v>
      </c>
      <c r="E517" s="10" t="s">
        <v>2609</v>
      </c>
      <c r="F517" s="10" t="s">
        <v>2238</v>
      </c>
      <c r="G517" s="10"/>
    </row>
    <row r="518" spans="1:7" x14ac:dyDescent="0.3">
      <c r="A518" s="31" t="s">
        <v>1518</v>
      </c>
      <c r="B518" s="32">
        <v>12</v>
      </c>
      <c r="C518" s="10" t="s">
        <v>1514</v>
      </c>
      <c r="D518" s="10" t="s">
        <v>1519</v>
      </c>
      <c r="E518" s="10" t="s">
        <v>2610</v>
      </c>
      <c r="F518" s="10" t="s">
        <v>2611</v>
      </c>
      <c r="G518" s="10"/>
    </row>
    <row r="519" spans="1:7" x14ac:dyDescent="0.3">
      <c r="A519" s="31" t="s">
        <v>1518</v>
      </c>
      <c r="B519" s="32">
        <v>12</v>
      </c>
      <c r="C519" s="10" t="s">
        <v>1514</v>
      </c>
      <c r="D519" s="10" t="s">
        <v>1519</v>
      </c>
      <c r="E519" s="10" t="s">
        <v>2612</v>
      </c>
      <c r="F519" s="10" t="s">
        <v>2238</v>
      </c>
      <c r="G519" s="10"/>
    </row>
    <row r="520" spans="1:7" x14ac:dyDescent="0.3">
      <c r="A520" s="31" t="s">
        <v>1518</v>
      </c>
      <c r="B520" s="32">
        <v>12</v>
      </c>
      <c r="C520" s="10" t="s">
        <v>1514</v>
      </c>
      <c r="D520" s="10" t="s">
        <v>1519</v>
      </c>
      <c r="E520" s="10" t="s">
        <v>2613</v>
      </c>
      <c r="F520" s="10" t="s">
        <v>2238</v>
      </c>
      <c r="G520" s="10"/>
    </row>
    <row r="521" spans="1:7" x14ac:dyDescent="0.3">
      <c r="A521" s="31" t="s">
        <v>1518</v>
      </c>
      <c r="B521" s="32">
        <v>12</v>
      </c>
      <c r="C521" s="10" t="s">
        <v>1514</v>
      </c>
      <c r="D521" s="10" t="s">
        <v>1519</v>
      </c>
      <c r="E521" s="10" t="s">
        <v>2614</v>
      </c>
      <c r="F521" s="10" t="s">
        <v>2615</v>
      </c>
      <c r="G521" s="10"/>
    </row>
    <row r="522" spans="1:7" x14ac:dyDescent="0.3">
      <c r="A522" s="31" t="s">
        <v>1518</v>
      </c>
      <c r="B522" s="32">
        <v>12</v>
      </c>
      <c r="C522" s="10" t="s">
        <v>1514</v>
      </c>
      <c r="D522" s="10" t="s">
        <v>1519</v>
      </c>
      <c r="E522" s="10" t="s">
        <v>2616</v>
      </c>
      <c r="F522" s="10" t="s">
        <v>2238</v>
      </c>
      <c r="G522" s="10"/>
    </row>
    <row r="523" spans="1:7" x14ac:dyDescent="0.3">
      <c r="A523" s="31" t="s">
        <v>1518</v>
      </c>
      <c r="B523" s="32">
        <v>12</v>
      </c>
      <c r="C523" s="10" t="s">
        <v>1514</v>
      </c>
      <c r="D523" s="10" t="s">
        <v>1519</v>
      </c>
      <c r="E523" s="10" t="s">
        <v>2617</v>
      </c>
      <c r="F523" s="10" t="s">
        <v>2618</v>
      </c>
      <c r="G523" s="10"/>
    </row>
    <row r="524" spans="1:7" x14ac:dyDescent="0.3">
      <c r="A524" s="31" t="s">
        <v>1518</v>
      </c>
      <c r="B524" s="32">
        <v>12</v>
      </c>
      <c r="C524" s="10" t="s">
        <v>1514</v>
      </c>
      <c r="D524" s="10" t="s">
        <v>1519</v>
      </c>
      <c r="E524" s="10" t="s">
        <v>2619</v>
      </c>
      <c r="F524" s="10"/>
      <c r="G524" s="10"/>
    </row>
    <row r="525" spans="1:7" ht="26.4" x14ac:dyDescent="0.3">
      <c r="A525" s="31" t="s">
        <v>1525</v>
      </c>
      <c r="B525" s="32">
        <v>12</v>
      </c>
      <c r="C525" s="10" t="s">
        <v>1514</v>
      </c>
      <c r="D525" s="10" t="s">
        <v>1526</v>
      </c>
      <c r="E525" s="10" t="s">
        <v>2620</v>
      </c>
      <c r="F525" s="10" t="s">
        <v>2621</v>
      </c>
      <c r="G525" s="10"/>
    </row>
    <row r="526" spans="1:7" x14ac:dyDescent="0.3">
      <c r="A526" s="31" t="s">
        <v>1525</v>
      </c>
      <c r="B526" s="32">
        <v>12</v>
      </c>
      <c r="C526" s="10" t="s">
        <v>1514</v>
      </c>
      <c r="D526" s="10" t="s">
        <v>1526</v>
      </c>
      <c r="E526" s="10" t="s">
        <v>2622</v>
      </c>
      <c r="F526" s="10"/>
      <c r="G526" s="10"/>
    </row>
    <row r="527" spans="1:7" x14ac:dyDescent="0.3">
      <c r="A527" s="31" t="s">
        <v>1525</v>
      </c>
      <c r="B527" s="32">
        <v>12</v>
      </c>
      <c r="C527" s="10" t="s">
        <v>1514</v>
      </c>
      <c r="D527" s="10" t="s">
        <v>1526</v>
      </c>
      <c r="E527" s="10" t="s">
        <v>2623</v>
      </c>
      <c r="F527" s="10"/>
      <c r="G527" s="10"/>
    </row>
    <row r="528" spans="1:7" x14ac:dyDescent="0.3">
      <c r="A528" s="31" t="s">
        <v>1525</v>
      </c>
      <c r="B528" s="32">
        <v>12</v>
      </c>
      <c r="C528" s="10" t="s">
        <v>1514</v>
      </c>
      <c r="D528" s="10" t="s">
        <v>1526</v>
      </c>
      <c r="E528" s="10" t="s">
        <v>2624</v>
      </c>
      <c r="F528" s="10" t="s">
        <v>2238</v>
      </c>
      <c r="G528" s="10"/>
    </row>
    <row r="529" spans="1:7" x14ac:dyDescent="0.3">
      <c r="A529" s="31" t="s">
        <v>1525</v>
      </c>
      <c r="B529" s="32">
        <v>12</v>
      </c>
      <c r="C529" s="10" t="s">
        <v>1514</v>
      </c>
      <c r="D529" s="10" t="s">
        <v>1526</v>
      </c>
      <c r="E529" s="10" t="s">
        <v>2625</v>
      </c>
      <c r="F529" s="10" t="s">
        <v>2238</v>
      </c>
      <c r="G529" s="10"/>
    </row>
    <row r="530" spans="1:7" x14ac:dyDescent="0.3">
      <c r="A530" s="31" t="s">
        <v>1525</v>
      </c>
      <c r="B530" s="32">
        <v>12</v>
      </c>
      <c r="C530" s="10" t="s">
        <v>1514</v>
      </c>
      <c r="D530" s="10" t="s">
        <v>1526</v>
      </c>
      <c r="E530" s="10" t="s">
        <v>2626</v>
      </c>
      <c r="F530" s="10" t="s">
        <v>2627</v>
      </c>
      <c r="G530" s="10"/>
    </row>
    <row r="531" spans="1:7" x14ac:dyDescent="0.3">
      <c r="A531" s="31" t="s">
        <v>1525</v>
      </c>
      <c r="B531" s="32">
        <v>12</v>
      </c>
      <c r="C531" s="10" t="s">
        <v>1514</v>
      </c>
      <c r="D531" s="10" t="s">
        <v>1526</v>
      </c>
      <c r="E531" s="10" t="s">
        <v>2628</v>
      </c>
      <c r="F531" s="10"/>
      <c r="G531" s="10"/>
    </row>
    <row r="532" spans="1:7" ht="26.4" x14ac:dyDescent="0.3">
      <c r="A532" s="31" t="s">
        <v>1532</v>
      </c>
      <c r="B532" s="32">
        <v>12</v>
      </c>
      <c r="C532" s="10" t="s">
        <v>1514</v>
      </c>
      <c r="D532" s="10" t="s">
        <v>1533</v>
      </c>
      <c r="E532" s="10" t="s">
        <v>2629</v>
      </c>
      <c r="F532" s="10" t="s">
        <v>2630</v>
      </c>
      <c r="G532" s="10"/>
    </row>
    <row r="533" spans="1:7" ht="26.4" x14ac:dyDescent="0.3">
      <c r="A533" s="31" t="s">
        <v>1532</v>
      </c>
      <c r="B533" s="32">
        <v>12</v>
      </c>
      <c r="C533" s="10" t="s">
        <v>1514</v>
      </c>
      <c r="D533" s="10" t="s">
        <v>1533</v>
      </c>
      <c r="E533" s="10" t="s">
        <v>2631</v>
      </c>
      <c r="F533" s="10"/>
      <c r="G533" s="10"/>
    </row>
    <row r="534" spans="1:7" ht="26.4" x14ac:dyDescent="0.3">
      <c r="A534" s="31" t="s">
        <v>1532</v>
      </c>
      <c r="B534" s="32">
        <v>12</v>
      </c>
      <c r="C534" s="10" t="s">
        <v>1514</v>
      </c>
      <c r="D534" s="10" t="s">
        <v>1533</v>
      </c>
      <c r="E534" s="10" t="s">
        <v>2632</v>
      </c>
      <c r="F534" s="10" t="s">
        <v>2238</v>
      </c>
      <c r="G534" s="10"/>
    </row>
    <row r="535" spans="1:7" ht="26.4" x14ac:dyDescent="0.3">
      <c r="A535" s="31" t="s">
        <v>1539</v>
      </c>
      <c r="B535" s="32">
        <v>12</v>
      </c>
      <c r="C535" s="10" t="s">
        <v>1514</v>
      </c>
      <c r="D535" s="10" t="s">
        <v>1541</v>
      </c>
      <c r="E535" s="10" t="s">
        <v>2633</v>
      </c>
      <c r="F535" s="10" t="s">
        <v>2634</v>
      </c>
      <c r="G535" s="10"/>
    </row>
    <row r="536" spans="1:7" x14ac:dyDescent="0.3">
      <c r="A536" s="31" t="s">
        <v>1539</v>
      </c>
      <c r="B536" s="32">
        <v>12</v>
      </c>
      <c r="C536" s="10" t="s">
        <v>1514</v>
      </c>
      <c r="D536" s="10" t="s">
        <v>1541</v>
      </c>
      <c r="E536" s="10" t="s">
        <v>2635</v>
      </c>
      <c r="F536" s="10" t="s">
        <v>2636</v>
      </c>
      <c r="G536" s="10"/>
    </row>
    <row r="537" spans="1:7" x14ac:dyDescent="0.3">
      <c r="A537" s="31" t="s">
        <v>1539</v>
      </c>
      <c r="B537" s="32">
        <v>12</v>
      </c>
      <c r="C537" s="10" t="s">
        <v>1514</v>
      </c>
      <c r="D537" s="10" t="s">
        <v>1541</v>
      </c>
      <c r="E537" s="10" t="s">
        <v>2637</v>
      </c>
      <c r="F537" s="10"/>
      <c r="G537" s="10"/>
    </row>
    <row r="538" spans="1:7" x14ac:dyDescent="0.3">
      <c r="A538" s="31" t="s">
        <v>1539</v>
      </c>
      <c r="B538" s="32">
        <v>12</v>
      </c>
      <c r="C538" s="10" t="s">
        <v>1514</v>
      </c>
      <c r="D538" s="10" t="s">
        <v>1541</v>
      </c>
      <c r="E538" s="10" t="s">
        <v>2638</v>
      </c>
      <c r="F538" s="10"/>
      <c r="G538" s="10"/>
    </row>
    <row r="539" spans="1:7" x14ac:dyDescent="0.3">
      <c r="A539" s="31" t="s">
        <v>1539</v>
      </c>
      <c r="B539" s="32">
        <v>12</v>
      </c>
      <c r="C539" s="10" t="s">
        <v>1514</v>
      </c>
      <c r="D539" s="10" t="s">
        <v>1541</v>
      </c>
      <c r="E539" s="10" t="s">
        <v>2639</v>
      </c>
      <c r="F539" s="10" t="s">
        <v>2136</v>
      </c>
      <c r="G539" s="10"/>
    </row>
    <row r="540" spans="1:7" ht="26.4" x14ac:dyDescent="0.3">
      <c r="A540" s="31" t="s">
        <v>1546</v>
      </c>
      <c r="B540" s="32">
        <v>12</v>
      </c>
      <c r="C540" s="10" t="s">
        <v>1514</v>
      </c>
      <c r="D540" s="10" t="s">
        <v>1547</v>
      </c>
      <c r="E540" s="10" t="s">
        <v>2640</v>
      </c>
      <c r="F540" s="10" t="s">
        <v>2641</v>
      </c>
      <c r="G540" s="10"/>
    </row>
    <row r="541" spans="1:7" x14ac:dyDescent="0.3">
      <c r="A541" s="31" t="s">
        <v>1546</v>
      </c>
      <c r="B541" s="32">
        <v>12</v>
      </c>
      <c r="C541" s="10" t="s">
        <v>1514</v>
      </c>
      <c r="D541" s="10" t="s">
        <v>1547</v>
      </c>
      <c r="E541" s="10" t="s">
        <v>2642</v>
      </c>
      <c r="F541" s="10" t="s">
        <v>2643</v>
      </c>
      <c r="G541" s="10"/>
    </row>
    <row r="542" spans="1:7" x14ac:dyDescent="0.3">
      <c r="A542" s="31" t="s">
        <v>1556</v>
      </c>
      <c r="B542" s="32">
        <v>12</v>
      </c>
      <c r="C542" s="10" t="s">
        <v>1514</v>
      </c>
      <c r="D542" s="10" t="s">
        <v>1557</v>
      </c>
      <c r="E542" s="10" t="s">
        <v>2644</v>
      </c>
      <c r="F542" s="10" t="s">
        <v>2645</v>
      </c>
      <c r="G542" s="10"/>
    </row>
    <row r="543" spans="1:7" x14ac:dyDescent="0.3">
      <c r="A543" s="31" t="s">
        <v>1556</v>
      </c>
      <c r="B543" s="32">
        <v>12</v>
      </c>
      <c r="C543" s="10" t="s">
        <v>1514</v>
      </c>
      <c r="D543" s="10" t="s">
        <v>1557</v>
      </c>
      <c r="E543" s="10" t="s">
        <v>2646</v>
      </c>
      <c r="F543" s="10"/>
      <c r="G543" s="10"/>
    </row>
    <row r="544" spans="1:7" x14ac:dyDescent="0.3">
      <c r="A544" s="31" t="s">
        <v>1556</v>
      </c>
      <c r="B544" s="32">
        <v>12</v>
      </c>
      <c r="C544" s="10" t="s">
        <v>1514</v>
      </c>
      <c r="D544" s="10" t="s">
        <v>1557</v>
      </c>
      <c r="E544" s="10" t="s">
        <v>2647</v>
      </c>
      <c r="F544" s="10" t="s">
        <v>2648</v>
      </c>
      <c r="G544" s="10"/>
    </row>
    <row r="545" spans="1:7" x14ac:dyDescent="0.3">
      <c r="A545" s="31" t="s">
        <v>1556</v>
      </c>
      <c r="B545" s="32">
        <v>12</v>
      </c>
      <c r="C545" s="10" t="s">
        <v>1514</v>
      </c>
      <c r="D545" s="10" t="s">
        <v>1557</v>
      </c>
      <c r="E545" s="10" t="s">
        <v>2649</v>
      </c>
      <c r="F545" s="10" t="s">
        <v>2092</v>
      </c>
      <c r="G545" s="10"/>
    </row>
    <row r="546" spans="1:7" x14ac:dyDescent="0.3">
      <c r="A546" s="31" t="s">
        <v>1556</v>
      </c>
      <c r="B546" s="32">
        <v>12</v>
      </c>
      <c r="C546" s="10" t="s">
        <v>1514</v>
      </c>
      <c r="D546" s="10" t="s">
        <v>1557</v>
      </c>
      <c r="E546" s="10" t="s">
        <v>2650</v>
      </c>
      <c r="F546" s="10" t="s">
        <v>2092</v>
      </c>
      <c r="G546" s="10"/>
    </row>
    <row r="547" spans="1:7" x14ac:dyDescent="0.3">
      <c r="A547" s="31" t="s">
        <v>1563</v>
      </c>
      <c r="B547" s="32">
        <v>12</v>
      </c>
      <c r="C547" s="10" t="s">
        <v>1514</v>
      </c>
      <c r="D547" s="10" t="s">
        <v>1564</v>
      </c>
      <c r="E547" s="10" t="s">
        <v>2651</v>
      </c>
      <c r="F547" s="10" t="s">
        <v>2652</v>
      </c>
      <c r="G547" s="10"/>
    </row>
    <row r="548" spans="1:7" x14ac:dyDescent="0.3">
      <c r="A548" s="31" t="s">
        <v>1563</v>
      </c>
      <c r="B548" s="32">
        <v>12</v>
      </c>
      <c r="C548" s="10" t="s">
        <v>1514</v>
      </c>
      <c r="D548" s="10" t="s">
        <v>1564</v>
      </c>
      <c r="E548" s="10" t="s">
        <v>2653</v>
      </c>
      <c r="F548" s="10"/>
      <c r="G548" s="10"/>
    </row>
    <row r="549" spans="1:7" ht="26.4" x14ac:dyDescent="0.3">
      <c r="A549" s="31" t="s">
        <v>1570</v>
      </c>
      <c r="B549" s="32">
        <v>12</v>
      </c>
      <c r="C549" s="10" t="s">
        <v>1571</v>
      </c>
      <c r="D549" s="10" t="s">
        <v>1572</v>
      </c>
      <c r="E549" s="10" t="s">
        <v>2654</v>
      </c>
      <c r="F549" s="10" t="s">
        <v>2655</v>
      </c>
      <c r="G549" s="10"/>
    </row>
    <row r="550" spans="1:7" ht="26.4" x14ac:dyDescent="0.3">
      <c r="A550" s="31" t="s">
        <v>1570</v>
      </c>
      <c r="B550" s="32">
        <v>12</v>
      </c>
      <c r="C550" s="10" t="s">
        <v>1571</v>
      </c>
      <c r="D550" s="10" t="s">
        <v>1572</v>
      </c>
      <c r="E550" s="10" t="s">
        <v>2656</v>
      </c>
      <c r="F550" s="10" t="s">
        <v>2080</v>
      </c>
      <c r="G550" s="10"/>
    </row>
    <row r="551" spans="1:7" ht="26.4" x14ac:dyDescent="0.3">
      <c r="A551" s="31" t="s">
        <v>1570</v>
      </c>
      <c r="B551" s="32">
        <v>12</v>
      </c>
      <c r="C551" s="10" t="s">
        <v>1571</v>
      </c>
      <c r="D551" s="10" t="s">
        <v>1572</v>
      </c>
      <c r="E551" s="10" t="s">
        <v>2657</v>
      </c>
      <c r="F551" s="10" t="s">
        <v>2080</v>
      </c>
      <c r="G551" s="10"/>
    </row>
    <row r="552" spans="1:7" ht="26.4" x14ac:dyDescent="0.3">
      <c r="A552" s="31" t="s">
        <v>1570</v>
      </c>
      <c r="B552" s="32">
        <v>12</v>
      </c>
      <c r="C552" s="10" t="s">
        <v>1571</v>
      </c>
      <c r="D552" s="10" t="s">
        <v>1572</v>
      </c>
      <c r="E552" s="10" t="s">
        <v>2658</v>
      </c>
      <c r="F552" s="10" t="s">
        <v>2659</v>
      </c>
      <c r="G552" s="10"/>
    </row>
    <row r="553" spans="1:7" ht="26.4" x14ac:dyDescent="0.3">
      <c r="A553" s="31" t="s">
        <v>1570</v>
      </c>
      <c r="B553" s="32">
        <v>12</v>
      </c>
      <c r="C553" s="10" t="s">
        <v>1571</v>
      </c>
      <c r="D553" s="10" t="s">
        <v>1572</v>
      </c>
      <c r="E553" s="10" t="s">
        <v>2660</v>
      </c>
      <c r="F553" s="10" t="s">
        <v>2659</v>
      </c>
      <c r="G553" s="10"/>
    </row>
    <row r="554" spans="1:7" ht="26.4" x14ac:dyDescent="0.3">
      <c r="A554" s="31" t="s">
        <v>1578</v>
      </c>
      <c r="B554" s="32">
        <v>12</v>
      </c>
      <c r="C554" s="10" t="s">
        <v>1571</v>
      </c>
      <c r="D554" s="10" t="s">
        <v>1579</v>
      </c>
      <c r="E554" s="10" t="s">
        <v>2661</v>
      </c>
      <c r="F554" s="10" t="s">
        <v>2662</v>
      </c>
      <c r="G554" s="10"/>
    </row>
    <row r="555" spans="1:7" ht="26.4" x14ac:dyDescent="0.3">
      <c r="A555" s="31" t="s">
        <v>1578</v>
      </c>
      <c r="B555" s="32">
        <v>12</v>
      </c>
      <c r="C555" s="10" t="s">
        <v>1571</v>
      </c>
      <c r="D555" s="10" t="s">
        <v>1579</v>
      </c>
      <c r="E555" s="10" t="s">
        <v>2663</v>
      </c>
      <c r="F555" s="10" t="s">
        <v>2080</v>
      </c>
      <c r="G555" s="10"/>
    </row>
    <row r="556" spans="1:7" ht="26.4" x14ac:dyDescent="0.3">
      <c r="A556" s="31" t="s">
        <v>1578</v>
      </c>
      <c r="B556" s="32">
        <v>12</v>
      </c>
      <c r="C556" s="10" t="s">
        <v>1571</v>
      </c>
      <c r="D556" s="10" t="s">
        <v>1579</v>
      </c>
      <c r="E556" s="10" t="s">
        <v>2664</v>
      </c>
      <c r="F556" s="10"/>
      <c r="G556" s="10"/>
    </row>
    <row r="557" spans="1:7" ht="26.4" x14ac:dyDescent="0.3">
      <c r="A557" s="31" t="s">
        <v>1578</v>
      </c>
      <c r="B557" s="32">
        <v>12</v>
      </c>
      <c r="C557" s="10" t="s">
        <v>1571</v>
      </c>
      <c r="D557" s="10" t="s">
        <v>1579</v>
      </c>
      <c r="E557" s="10" t="s">
        <v>2665</v>
      </c>
      <c r="F557" s="10" t="s">
        <v>2666</v>
      </c>
      <c r="G557" s="10"/>
    </row>
    <row r="558" spans="1:7" ht="26.4" x14ac:dyDescent="0.3">
      <c r="A558" s="31" t="s">
        <v>1588</v>
      </c>
      <c r="B558" s="32">
        <v>12</v>
      </c>
      <c r="C558" s="10" t="s">
        <v>1571</v>
      </c>
      <c r="D558" s="10" t="s">
        <v>1589</v>
      </c>
      <c r="E558" s="10" t="s">
        <v>2667</v>
      </c>
      <c r="F558" s="10" t="s">
        <v>2668</v>
      </c>
      <c r="G558" s="10" t="s">
        <v>2669</v>
      </c>
    </row>
    <row r="559" spans="1:7" ht="26.4" x14ac:dyDescent="0.3">
      <c r="A559" s="31" t="s">
        <v>1588</v>
      </c>
      <c r="B559" s="32">
        <v>12</v>
      </c>
      <c r="C559" s="10" t="s">
        <v>1571</v>
      </c>
      <c r="D559" s="10" t="s">
        <v>1589</v>
      </c>
      <c r="E559" s="10" t="s">
        <v>2670</v>
      </c>
      <c r="F559" s="10" t="s">
        <v>2668</v>
      </c>
      <c r="G559" s="10" t="s">
        <v>2671</v>
      </c>
    </row>
    <row r="560" spans="1:7" ht="26.4" x14ac:dyDescent="0.3">
      <c r="A560" s="31" t="s">
        <v>1588</v>
      </c>
      <c r="B560" s="32">
        <v>12</v>
      </c>
      <c r="C560" s="10" t="s">
        <v>1571</v>
      </c>
      <c r="D560" s="10" t="s">
        <v>1589</v>
      </c>
      <c r="E560" s="10" t="s">
        <v>2672</v>
      </c>
      <c r="F560" s="10" t="s">
        <v>2673</v>
      </c>
      <c r="G560" s="10" t="s">
        <v>2674</v>
      </c>
    </row>
    <row r="561" spans="1:7" ht="26.4" x14ac:dyDescent="0.3">
      <c r="A561" s="31" t="s">
        <v>1588</v>
      </c>
      <c r="B561" s="32">
        <v>12</v>
      </c>
      <c r="C561" s="10" t="s">
        <v>1571</v>
      </c>
      <c r="D561" s="10" t="s">
        <v>1589</v>
      </c>
      <c r="E561" s="10" t="s">
        <v>1821</v>
      </c>
      <c r="F561" s="10" t="s">
        <v>2675</v>
      </c>
      <c r="G561" s="10"/>
    </row>
    <row r="562" spans="1:7" ht="26.4" x14ac:dyDescent="0.3">
      <c r="A562" s="31" t="s">
        <v>1588</v>
      </c>
      <c r="B562" s="32">
        <v>12</v>
      </c>
      <c r="C562" s="10" t="s">
        <v>1571</v>
      </c>
      <c r="D562" s="10" t="s">
        <v>1589</v>
      </c>
      <c r="E562" s="10" t="s">
        <v>2676</v>
      </c>
      <c r="F562" s="10" t="s">
        <v>2080</v>
      </c>
      <c r="G562" s="10"/>
    </row>
    <row r="563" spans="1:7" ht="26.4" x14ac:dyDescent="0.3">
      <c r="A563" s="31" t="s">
        <v>1588</v>
      </c>
      <c r="B563" s="32">
        <v>12</v>
      </c>
      <c r="C563" s="10" t="s">
        <v>1571</v>
      </c>
      <c r="D563" s="10" t="s">
        <v>1589</v>
      </c>
      <c r="E563" s="10" t="s">
        <v>2677</v>
      </c>
      <c r="F563" s="10" t="s">
        <v>2080</v>
      </c>
      <c r="G563" s="10"/>
    </row>
    <row r="564" spans="1:7" ht="26.4" x14ac:dyDescent="0.3">
      <c r="A564" s="31" t="s">
        <v>1588</v>
      </c>
      <c r="B564" s="32">
        <v>12</v>
      </c>
      <c r="C564" s="10" t="s">
        <v>1571</v>
      </c>
      <c r="D564" s="10" t="s">
        <v>1589</v>
      </c>
      <c r="E564" s="10" t="s">
        <v>2052</v>
      </c>
      <c r="F564" s="10" t="s">
        <v>1940</v>
      </c>
      <c r="G564" s="10"/>
    </row>
    <row r="565" spans="1:7" ht="26.4" x14ac:dyDescent="0.3">
      <c r="A565" s="31" t="s">
        <v>1588</v>
      </c>
      <c r="B565" s="32">
        <v>12</v>
      </c>
      <c r="C565" s="10" t="s">
        <v>1571</v>
      </c>
      <c r="D565" s="10" t="s">
        <v>1589</v>
      </c>
      <c r="E565" s="10" t="s">
        <v>2678</v>
      </c>
      <c r="F565" s="10" t="s">
        <v>2330</v>
      </c>
      <c r="G565" s="10"/>
    </row>
    <row r="566" spans="1:7" ht="26.4" x14ac:dyDescent="0.3">
      <c r="A566" s="31" t="s">
        <v>1588</v>
      </c>
      <c r="B566" s="32">
        <v>12</v>
      </c>
      <c r="C566" s="10" t="s">
        <v>1571</v>
      </c>
      <c r="D566" s="10" t="s">
        <v>1589</v>
      </c>
      <c r="E566" s="10" t="s">
        <v>2679</v>
      </c>
      <c r="F566" s="10"/>
      <c r="G566" s="10"/>
    </row>
    <row r="567" spans="1:7" x14ac:dyDescent="0.3">
      <c r="A567" s="31" t="s">
        <v>1600</v>
      </c>
      <c r="B567" s="32">
        <v>12</v>
      </c>
      <c r="C567" s="10" t="s">
        <v>1597</v>
      </c>
      <c r="D567" s="10" t="s">
        <v>1601</v>
      </c>
      <c r="E567" s="10" t="s">
        <v>2680</v>
      </c>
      <c r="F567" s="10" t="s">
        <v>2681</v>
      </c>
      <c r="G567" s="10"/>
    </row>
    <row r="568" spans="1:7" x14ac:dyDescent="0.3">
      <c r="A568" s="31" t="s">
        <v>1600</v>
      </c>
      <c r="B568" s="32">
        <v>12</v>
      </c>
      <c r="C568" s="10" t="s">
        <v>1597</v>
      </c>
      <c r="D568" s="10" t="s">
        <v>1601</v>
      </c>
      <c r="E568" s="10" t="s">
        <v>2682</v>
      </c>
      <c r="F568" s="10" t="s">
        <v>2683</v>
      </c>
      <c r="G568" s="10"/>
    </row>
    <row r="569" spans="1:7" x14ac:dyDescent="0.3">
      <c r="A569" s="31" t="s">
        <v>1600</v>
      </c>
      <c r="B569" s="32">
        <v>12</v>
      </c>
      <c r="C569" s="10" t="s">
        <v>1597</v>
      </c>
      <c r="D569" s="10" t="s">
        <v>1601</v>
      </c>
      <c r="E569" s="10" t="s">
        <v>2684</v>
      </c>
      <c r="F569" s="10"/>
      <c r="G569" s="10"/>
    </row>
    <row r="570" spans="1:7" ht="26.4" x14ac:dyDescent="0.3">
      <c r="A570" s="31" t="s">
        <v>1600</v>
      </c>
      <c r="B570" s="32">
        <v>12</v>
      </c>
      <c r="C570" s="10" t="s">
        <v>1597</v>
      </c>
      <c r="D570" s="10" t="s">
        <v>1601</v>
      </c>
      <c r="E570" s="10" t="s">
        <v>2685</v>
      </c>
      <c r="F570" s="10" t="s">
        <v>2686</v>
      </c>
      <c r="G570" s="10"/>
    </row>
    <row r="571" spans="1:7" x14ac:dyDescent="0.3">
      <c r="A571" s="31" t="s">
        <v>1600</v>
      </c>
      <c r="B571" s="32">
        <v>12</v>
      </c>
      <c r="C571" s="10" t="s">
        <v>1597</v>
      </c>
      <c r="D571" s="10" t="s">
        <v>1601</v>
      </c>
      <c r="E571" s="10" t="s">
        <v>2687</v>
      </c>
      <c r="F571" s="10" t="s">
        <v>2080</v>
      </c>
      <c r="G571" s="10"/>
    </row>
    <row r="572" spans="1:7" x14ac:dyDescent="0.3">
      <c r="A572" s="31" t="s">
        <v>1600</v>
      </c>
      <c r="B572" s="32">
        <v>12</v>
      </c>
      <c r="C572" s="10" t="s">
        <v>1597</v>
      </c>
      <c r="D572" s="10" t="s">
        <v>1601</v>
      </c>
      <c r="E572" s="10" t="s">
        <v>2688</v>
      </c>
      <c r="F572" s="10" t="s">
        <v>2689</v>
      </c>
      <c r="G572" s="10"/>
    </row>
    <row r="573" spans="1:7" x14ac:dyDescent="0.3">
      <c r="A573" s="31" t="s">
        <v>1607</v>
      </c>
      <c r="B573" s="32">
        <v>12</v>
      </c>
      <c r="C573" s="10" t="s">
        <v>1597</v>
      </c>
      <c r="D573" s="10" t="s">
        <v>1608</v>
      </c>
      <c r="E573" s="10" t="s">
        <v>2690</v>
      </c>
      <c r="F573" s="10" t="s">
        <v>2691</v>
      </c>
      <c r="G573" s="10"/>
    </row>
    <row r="574" spans="1:7" x14ac:dyDescent="0.3">
      <c r="A574" s="31" t="s">
        <v>1607</v>
      </c>
      <c r="B574" s="32">
        <v>12</v>
      </c>
      <c r="C574" s="10" t="s">
        <v>1597</v>
      </c>
      <c r="D574" s="10" t="s">
        <v>1608</v>
      </c>
      <c r="E574" s="10" t="s">
        <v>2692</v>
      </c>
      <c r="F574" s="10"/>
      <c r="G574" s="10"/>
    </row>
    <row r="575" spans="1:7" x14ac:dyDescent="0.3">
      <c r="A575" s="31" t="s">
        <v>1607</v>
      </c>
      <c r="B575" s="32">
        <v>12</v>
      </c>
      <c r="C575" s="10" t="s">
        <v>1597</v>
      </c>
      <c r="D575" s="10" t="s">
        <v>1608</v>
      </c>
      <c r="E575" s="10" t="s">
        <v>2693</v>
      </c>
      <c r="F575" s="10" t="s">
        <v>2080</v>
      </c>
      <c r="G575" s="10"/>
    </row>
    <row r="576" spans="1:7" x14ac:dyDescent="0.3">
      <c r="A576" s="31" t="s">
        <v>1607</v>
      </c>
      <c r="B576" s="32">
        <v>12</v>
      </c>
      <c r="C576" s="10" t="s">
        <v>1597</v>
      </c>
      <c r="D576" s="10" t="s">
        <v>1608</v>
      </c>
      <c r="E576" s="10" t="s">
        <v>2694</v>
      </c>
      <c r="F576" s="10" t="s">
        <v>2080</v>
      </c>
      <c r="G576" s="10"/>
    </row>
    <row r="577" spans="1:7" x14ac:dyDescent="0.3">
      <c r="A577" s="31" t="s">
        <v>1613</v>
      </c>
      <c r="B577" s="32">
        <v>12</v>
      </c>
      <c r="C577" s="10" t="s">
        <v>1597</v>
      </c>
      <c r="D577" s="10" t="s">
        <v>1614</v>
      </c>
      <c r="E577" s="10" t="s">
        <v>2695</v>
      </c>
      <c r="F577" s="10" t="s">
        <v>2696</v>
      </c>
      <c r="G577" s="10"/>
    </row>
    <row r="578" spans="1:7" x14ac:dyDescent="0.3">
      <c r="A578" s="31" t="s">
        <v>1613</v>
      </c>
      <c r="B578" s="32">
        <v>12</v>
      </c>
      <c r="C578" s="10" t="s">
        <v>1597</v>
      </c>
      <c r="D578" s="10" t="s">
        <v>1614</v>
      </c>
      <c r="E578" s="10" t="s">
        <v>2697</v>
      </c>
      <c r="F578" s="10" t="s">
        <v>2698</v>
      </c>
      <c r="G578" s="10"/>
    </row>
    <row r="579" spans="1:7" x14ac:dyDescent="0.3">
      <c r="A579" s="31" t="s">
        <v>1613</v>
      </c>
      <c r="B579" s="32">
        <v>12</v>
      </c>
      <c r="C579" s="10" t="s">
        <v>1597</v>
      </c>
      <c r="D579" s="10" t="s">
        <v>1614</v>
      </c>
      <c r="E579" s="10" t="s">
        <v>2699</v>
      </c>
      <c r="F579" s="10"/>
      <c r="G579" s="10"/>
    </row>
    <row r="580" spans="1:7" x14ac:dyDescent="0.3">
      <c r="A580" s="31" t="s">
        <v>1620</v>
      </c>
      <c r="B580" s="32">
        <v>12</v>
      </c>
      <c r="C580" s="10" t="s">
        <v>1597</v>
      </c>
      <c r="D580" s="10" t="s">
        <v>1621</v>
      </c>
      <c r="E580" s="10" t="s">
        <v>2700</v>
      </c>
      <c r="F580" s="10" t="s">
        <v>2701</v>
      </c>
      <c r="G580" s="10"/>
    </row>
    <row r="581" spans="1:7" x14ac:dyDescent="0.3">
      <c r="A581" s="31" t="s">
        <v>1620</v>
      </c>
      <c r="B581" s="32">
        <v>12</v>
      </c>
      <c r="C581" s="10" t="s">
        <v>1597</v>
      </c>
      <c r="D581" s="10" t="s">
        <v>1621</v>
      </c>
      <c r="E581" s="10" t="s">
        <v>2702</v>
      </c>
      <c r="F581" s="10" t="s">
        <v>2080</v>
      </c>
      <c r="G581" s="10"/>
    </row>
    <row r="582" spans="1:7" x14ac:dyDescent="0.3">
      <c r="A582" s="31" t="s">
        <v>1620</v>
      </c>
      <c r="B582" s="32">
        <v>12</v>
      </c>
      <c r="C582" s="10" t="s">
        <v>1597</v>
      </c>
      <c r="D582" s="10" t="s">
        <v>1621</v>
      </c>
      <c r="E582" s="10" t="s">
        <v>2703</v>
      </c>
      <c r="F582" s="10" t="s">
        <v>2704</v>
      </c>
      <c r="G582" s="10"/>
    </row>
    <row r="583" spans="1:7" x14ac:dyDescent="0.3">
      <c r="A583" s="31" t="s">
        <v>1620</v>
      </c>
      <c r="B583" s="32">
        <v>12</v>
      </c>
      <c r="C583" s="10" t="s">
        <v>1597</v>
      </c>
      <c r="D583" s="10" t="s">
        <v>1621</v>
      </c>
      <c r="E583" s="10" t="s">
        <v>2705</v>
      </c>
      <c r="F583" s="10" t="s">
        <v>2659</v>
      </c>
      <c r="G583" s="10"/>
    </row>
    <row r="584" spans="1:7" x14ac:dyDescent="0.3">
      <c r="A584" s="31" t="s">
        <v>1201</v>
      </c>
      <c r="B584" s="32">
        <v>12</v>
      </c>
      <c r="C584" s="10" t="s">
        <v>1629</v>
      </c>
      <c r="D584" s="10" t="s">
        <v>1632</v>
      </c>
      <c r="E584" s="10" t="s">
        <v>2301</v>
      </c>
      <c r="F584" s="10" t="s">
        <v>2706</v>
      </c>
      <c r="G584" s="10"/>
    </row>
    <row r="585" spans="1:7" ht="26.4" x14ac:dyDescent="0.3">
      <c r="A585" s="31" t="s">
        <v>1215</v>
      </c>
      <c r="B585" s="32">
        <v>12</v>
      </c>
      <c r="C585" s="10" t="s">
        <v>1629</v>
      </c>
      <c r="D585" s="10" t="s">
        <v>1637</v>
      </c>
      <c r="E585" s="10" t="s">
        <v>2707</v>
      </c>
      <c r="F585" s="10" t="s">
        <v>2708</v>
      </c>
      <c r="G585" s="10"/>
    </row>
    <row r="586" spans="1:7" ht="26.4" x14ac:dyDescent="0.3">
      <c r="A586" s="31" t="s">
        <v>1215</v>
      </c>
      <c r="B586" s="32">
        <v>12</v>
      </c>
      <c r="C586" s="10" t="s">
        <v>1629</v>
      </c>
      <c r="D586" s="10" t="s">
        <v>1637</v>
      </c>
      <c r="E586" s="10" t="s">
        <v>2709</v>
      </c>
      <c r="F586" s="10" t="s">
        <v>2710</v>
      </c>
      <c r="G586" s="10"/>
    </row>
    <row r="587" spans="1:7" ht="26.4" x14ac:dyDescent="0.3">
      <c r="A587" s="31" t="s">
        <v>1215</v>
      </c>
      <c r="B587" s="32">
        <v>12</v>
      </c>
      <c r="C587" s="10" t="s">
        <v>1629</v>
      </c>
      <c r="D587" s="10" t="s">
        <v>1637</v>
      </c>
      <c r="E587" s="10" t="s">
        <v>2711</v>
      </c>
      <c r="F587" s="10" t="s">
        <v>2712</v>
      </c>
      <c r="G587" s="10"/>
    </row>
    <row r="588" spans="1:7" ht="26.4" x14ac:dyDescent="0.3">
      <c r="A588" s="31" t="s">
        <v>857</v>
      </c>
      <c r="B588" s="32">
        <v>12</v>
      </c>
      <c r="C588" s="10" t="s">
        <v>1629</v>
      </c>
      <c r="D588" s="10" t="s">
        <v>1642</v>
      </c>
      <c r="E588" s="10" t="s">
        <v>2713</v>
      </c>
      <c r="F588" s="10" t="s">
        <v>2714</v>
      </c>
      <c r="G588" s="10"/>
    </row>
    <row r="589" spans="1:7" ht="26.4" x14ac:dyDescent="0.3">
      <c r="A589" s="31" t="s">
        <v>857</v>
      </c>
      <c r="B589" s="32">
        <v>12</v>
      </c>
      <c r="C589" s="10" t="s">
        <v>1629</v>
      </c>
      <c r="D589" s="10" t="s">
        <v>1642</v>
      </c>
      <c r="E589" s="10" t="s">
        <v>2715</v>
      </c>
      <c r="F589" s="10" t="s">
        <v>2233</v>
      </c>
      <c r="G589" s="10"/>
    </row>
    <row r="590" spans="1:7" ht="26.4" x14ac:dyDescent="0.3">
      <c r="A590" s="31" t="s">
        <v>857</v>
      </c>
      <c r="B590" s="32">
        <v>12</v>
      </c>
      <c r="C590" s="10" t="s">
        <v>1629</v>
      </c>
      <c r="D590" s="10" t="s">
        <v>1642</v>
      </c>
      <c r="E590" s="10" t="s">
        <v>2716</v>
      </c>
      <c r="F590" s="10" t="s">
        <v>2717</v>
      </c>
      <c r="G590" s="10"/>
    </row>
    <row r="591" spans="1:7" ht="26.4" x14ac:dyDescent="0.3">
      <c r="A591" s="31" t="s">
        <v>864</v>
      </c>
      <c r="B591" s="32">
        <v>12</v>
      </c>
      <c r="C591" s="10" t="s">
        <v>1629</v>
      </c>
      <c r="D591" s="10" t="s">
        <v>1648</v>
      </c>
      <c r="E591" s="10" t="s">
        <v>2718</v>
      </c>
      <c r="F591" s="10" t="s">
        <v>2719</v>
      </c>
      <c r="G591" s="10"/>
    </row>
    <row r="592" spans="1:7" x14ac:dyDescent="0.3">
      <c r="A592" s="31" t="s">
        <v>864</v>
      </c>
      <c r="B592" s="32">
        <v>12</v>
      </c>
      <c r="C592" s="10" t="s">
        <v>1629</v>
      </c>
      <c r="D592" s="10" t="s">
        <v>1648</v>
      </c>
      <c r="E592" s="10" t="s">
        <v>2720</v>
      </c>
      <c r="F592" s="10" t="s">
        <v>2721</v>
      </c>
      <c r="G592" s="10"/>
    </row>
    <row r="593" spans="1:7" x14ac:dyDescent="0.3">
      <c r="A593" s="31" t="s">
        <v>864</v>
      </c>
      <c r="B593" s="32">
        <v>12</v>
      </c>
      <c r="C593" s="10" t="s">
        <v>1629</v>
      </c>
      <c r="D593" s="10" t="s">
        <v>1648</v>
      </c>
      <c r="E593" s="10" t="s">
        <v>2722</v>
      </c>
      <c r="F593" s="10" t="s">
        <v>2723</v>
      </c>
      <c r="G593" s="10"/>
    </row>
    <row r="594" spans="1:7" x14ac:dyDescent="0.3">
      <c r="A594" s="31" t="s">
        <v>864</v>
      </c>
      <c r="B594" s="32">
        <v>12</v>
      </c>
      <c r="C594" s="10" t="s">
        <v>1629</v>
      </c>
      <c r="D594" s="10" t="s">
        <v>1648</v>
      </c>
      <c r="E594" s="10" t="s">
        <v>2724</v>
      </c>
      <c r="F594" s="10" t="s">
        <v>2725</v>
      </c>
      <c r="G594" s="10"/>
    </row>
    <row r="595" spans="1:7" ht="26.4" x14ac:dyDescent="0.3">
      <c r="A595" s="31" t="s">
        <v>1654</v>
      </c>
      <c r="B595" s="32">
        <v>12</v>
      </c>
      <c r="C595" s="10" t="s">
        <v>1629</v>
      </c>
      <c r="D595" s="10" t="s">
        <v>1655</v>
      </c>
      <c r="E595" s="10" t="s">
        <v>2726</v>
      </c>
      <c r="F595" s="10" t="s">
        <v>2727</v>
      </c>
      <c r="G595" s="10"/>
    </row>
    <row r="596" spans="1:7" ht="26.4" x14ac:dyDescent="0.3">
      <c r="A596" s="31" t="s">
        <v>1654</v>
      </c>
      <c r="B596" s="32">
        <v>12</v>
      </c>
      <c r="C596" s="10" t="s">
        <v>1629</v>
      </c>
      <c r="D596" s="10" t="s">
        <v>1655</v>
      </c>
      <c r="E596" s="10" t="s">
        <v>2728</v>
      </c>
      <c r="F596" s="10" t="s">
        <v>2729</v>
      </c>
      <c r="G596" s="10"/>
    </row>
    <row r="597" spans="1:7" ht="26.4" x14ac:dyDescent="0.3">
      <c r="A597" s="31" t="s">
        <v>1654</v>
      </c>
      <c r="B597" s="32">
        <v>12</v>
      </c>
      <c r="C597" s="10" t="s">
        <v>1629</v>
      </c>
      <c r="D597" s="10" t="s">
        <v>1655</v>
      </c>
      <c r="E597" s="10" t="s">
        <v>2730</v>
      </c>
      <c r="F597" s="10" t="s">
        <v>2731</v>
      </c>
      <c r="G597" s="10"/>
    </row>
    <row r="598" spans="1:7" ht="26.4" x14ac:dyDescent="0.3">
      <c r="A598" s="31" t="s">
        <v>1654</v>
      </c>
      <c r="B598" s="32">
        <v>12</v>
      </c>
      <c r="C598" s="10" t="s">
        <v>1629</v>
      </c>
      <c r="D598" s="10" t="s">
        <v>1655</v>
      </c>
      <c r="E598" s="10" t="s">
        <v>2732</v>
      </c>
      <c r="F598" s="10" t="s">
        <v>2733</v>
      </c>
      <c r="G598" s="10"/>
    </row>
    <row r="599" spans="1:7" ht="26.4" x14ac:dyDescent="0.3">
      <c r="A599" s="31" t="s">
        <v>1654</v>
      </c>
      <c r="B599" s="32">
        <v>12</v>
      </c>
      <c r="C599" s="10" t="s">
        <v>1629</v>
      </c>
      <c r="D599" s="10" t="s">
        <v>1655</v>
      </c>
      <c r="E599" s="10" t="s">
        <v>2734</v>
      </c>
      <c r="F599" s="10" t="s">
        <v>2330</v>
      </c>
      <c r="G599" s="10"/>
    </row>
    <row r="600" spans="1:7" ht="26.4" x14ac:dyDescent="0.3">
      <c r="A600" s="31" t="s">
        <v>1654</v>
      </c>
      <c r="B600" s="32">
        <v>12</v>
      </c>
      <c r="C600" s="10" t="s">
        <v>1629</v>
      </c>
      <c r="D600" s="10" t="s">
        <v>1655</v>
      </c>
      <c r="E600" s="10" t="s">
        <v>2735</v>
      </c>
      <c r="F600" s="10" t="s">
        <v>1940</v>
      </c>
      <c r="G600" s="10"/>
    </row>
    <row r="601" spans="1:7" ht="26.4" x14ac:dyDescent="0.3">
      <c r="A601" s="31" t="s">
        <v>1654</v>
      </c>
      <c r="B601" s="32">
        <v>12</v>
      </c>
      <c r="C601" s="10" t="s">
        <v>1629</v>
      </c>
      <c r="D601" s="10" t="s">
        <v>1655</v>
      </c>
      <c r="E601" s="10" t="s">
        <v>2736</v>
      </c>
      <c r="F601" s="10" t="s">
        <v>2737</v>
      </c>
      <c r="G601" s="10"/>
    </row>
    <row r="602" spans="1:7" ht="26.4" x14ac:dyDescent="0.3">
      <c r="A602" s="31" t="s">
        <v>1661</v>
      </c>
      <c r="B602" s="32">
        <v>12</v>
      </c>
      <c r="C602" s="10" t="s">
        <v>1629</v>
      </c>
      <c r="D602" s="10" t="s">
        <v>1662</v>
      </c>
      <c r="E602" s="10" t="s">
        <v>2738</v>
      </c>
      <c r="F602" s="10" t="s">
        <v>2739</v>
      </c>
      <c r="G602" s="10"/>
    </row>
    <row r="603" spans="1:7" ht="26.4" x14ac:dyDescent="0.3">
      <c r="A603" s="31" t="s">
        <v>1661</v>
      </c>
      <c r="B603" s="32">
        <v>12</v>
      </c>
      <c r="C603" s="10" t="s">
        <v>1629</v>
      </c>
      <c r="D603" s="10" t="s">
        <v>1662</v>
      </c>
      <c r="E603" s="10" t="s">
        <v>2740</v>
      </c>
      <c r="F603" s="10" t="s">
        <v>2078</v>
      </c>
      <c r="G603" s="10"/>
    </row>
    <row r="604" spans="1:7" ht="26.4" x14ac:dyDescent="0.3">
      <c r="A604" s="31" t="s">
        <v>1661</v>
      </c>
      <c r="B604" s="32">
        <v>12</v>
      </c>
      <c r="C604" s="10" t="s">
        <v>1629</v>
      </c>
      <c r="D604" s="10" t="s">
        <v>1662</v>
      </c>
      <c r="E604" s="10" t="s">
        <v>2741</v>
      </c>
      <c r="F604" s="10"/>
      <c r="G604" s="10"/>
    </row>
    <row r="605" spans="1:7" ht="26.4" x14ac:dyDescent="0.3">
      <c r="A605" s="31" t="s">
        <v>1668</v>
      </c>
      <c r="B605" s="32">
        <v>12</v>
      </c>
      <c r="C605" s="10" t="s">
        <v>1669</v>
      </c>
      <c r="D605" s="10" t="s">
        <v>1670</v>
      </c>
      <c r="E605" s="10" t="s">
        <v>2742</v>
      </c>
      <c r="F605" s="10" t="s">
        <v>2743</v>
      </c>
      <c r="G605" s="10"/>
    </row>
    <row r="606" spans="1:7" ht="26.4" x14ac:dyDescent="0.3">
      <c r="A606" s="31" t="s">
        <v>1668</v>
      </c>
      <c r="B606" s="32">
        <v>12</v>
      </c>
      <c r="C606" s="10" t="s">
        <v>1669</v>
      </c>
      <c r="D606" s="10" t="s">
        <v>1670</v>
      </c>
      <c r="E606" s="10" t="s">
        <v>2744</v>
      </c>
      <c r="F606" s="10" t="s">
        <v>2745</v>
      </c>
      <c r="G606" s="10"/>
    </row>
    <row r="607" spans="1:7" ht="26.4" x14ac:dyDescent="0.3">
      <c r="A607" s="31" t="s">
        <v>1668</v>
      </c>
      <c r="B607" s="32">
        <v>12</v>
      </c>
      <c r="C607" s="10" t="s">
        <v>1669</v>
      </c>
      <c r="D607" s="10" t="s">
        <v>1670</v>
      </c>
      <c r="E607" s="10" t="s">
        <v>2746</v>
      </c>
      <c r="F607" s="10" t="s">
        <v>2747</v>
      </c>
      <c r="G607" s="10"/>
    </row>
    <row r="608" spans="1:7" ht="26.4" x14ac:dyDescent="0.3">
      <c r="A608" s="31" t="s">
        <v>1668</v>
      </c>
      <c r="B608" s="32">
        <v>12</v>
      </c>
      <c r="C608" s="10" t="s">
        <v>1669</v>
      </c>
      <c r="D608" s="10" t="s">
        <v>1670</v>
      </c>
      <c r="E608" s="10" t="s">
        <v>2748</v>
      </c>
      <c r="F608" s="10"/>
      <c r="G608" s="10"/>
    </row>
    <row r="609" spans="1:7" ht="26.4" x14ac:dyDescent="0.3">
      <c r="A609" s="31" t="s">
        <v>1676</v>
      </c>
      <c r="B609" s="32">
        <v>12</v>
      </c>
      <c r="C609" s="10" t="s">
        <v>1669</v>
      </c>
      <c r="D609" s="10" t="s">
        <v>1677</v>
      </c>
      <c r="E609" s="10" t="s">
        <v>2749</v>
      </c>
      <c r="F609" s="10" t="s">
        <v>2750</v>
      </c>
      <c r="G609" s="10"/>
    </row>
    <row r="610" spans="1:7" ht="26.4" x14ac:dyDescent="0.3">
      <c r="A610" s="31" t="s">
        <v>1676</v>
      </c>
      <c r="B610" s="32">
        <v>12</v>
      </c>
      <c r="C610" s="10" t="s">
        <v>1669</v>
      </c>
      <c r="D610" s="10" t="s">
        <v>1677</v>
      </c>
      <c r="E610" s="10" t="s">
        <v>2751</v>
      </c>
      <c r="F610" s="10" t="s">
        <v>2752</v>
      </c>
      <c r="G610" s="10"/>
    </row>
    <row r="611" spans="1:7" ht="26.4" x14ac:dyDescent="0.3">
      <c r="A611" s="31" t="s">
        <v>1676</v>
      </c>
      <c r="B611" s="32">
        <v>12</v>
      </c>
      <c r="C611" s="10" t="s">
        <v>1669</v>
      </c>
      <c r="D611" s="10" t="s">
        <v>1677</v>
      </c>
      <c r="E611" s="10" t="s">
        <v>2753</v>
      </c>
      <c r="F611" s="10" t="s">
        <v>2754</v>
      </c>
      <c r="G611" s="10"/>
    </row>
    <row r="612" spans="1:7" ht="26.4" x14ac:dyDescent="0.3">
      <c r="A612" s="31" t="s">
        <v>1676</v>
      </c>
      <c r="B612" s="32">
        <v>12</v>
      </c>
      <c r="C612" s="10" t="s">
        <v>1669</v>
      </c>
      <c r="D612" s="10" t="s">
        <v>1677</v>
      </c>
      <c r="E612" s="10" t="s">
        <v>2755</v>
      </c>
      <c r="F612" s="10" t="s">
        <v>2034</v>
      </c>
      <c r="G612" s="10"/>
    </row>
    <row r="613" spans="1:7" ht="26.4" x14ac:dyDescent="0.3">
      <c r="A613" s="31" t="s">
        <v>1676</v>
      </c>
      <c r="B613" s="32">
        <v>12</v>
      </c>
      <c r="C613" s="10" t="s">
        <v>1669</v>
      </c>
      <c r="D613" s="10" t="s">
        <v>1677</v>
      </c>
      <c r="E613" s="10" t="s">
        <v>2756</v>
      </c>
      <c r="F613" s="10" t="s">
        <v>2032</v>
      </c>
      <c r="G613" s="10"/>
    </row>
    <row r="614" spans="1:7" ht="26.4" x14ac:dyDescent="0.3">
      <c r="A614" s="31" t="s">
        <v>1676</v>
      </c>
      <c r="B614" s="32">
        <v>12</v>
      </c>
      <c r="C614" s="10" t="s">
        <v>1669</v>
      </c>
      <c r="D614" s="10" t="s">
        <v>1677</v>
      </c>
      <c r="E614" s="10" t="s">
        <v>2757</v>
      </c>
      <c r="F614" s="10" t="s">
        <v>2344</v>
      </c>
      <c r="G614" s="10"/>
    </row>
    <row r="615" spans="1:7" ht="26.4" x14ac:dyDescent="0.3">
      <c r="A615" s="31" t="s">
        <v>1683</v>
      </c>
      <c r="B615" s="32">
        <v>12</v>
      </c>
      <c r="C615" s="10" t="s">
        <v>1669</v>
      </c>
      <c r="D615" s="10" t="s">
        <v>1684</v>
      </c>
      <c r="E615" s="10" t="s">
        <v>2758</v>
      </c>
      <c r="F615" s="10" t="s">
        <v>2759</v>
      </c>
      <c r="G615" s="10"/>
    </row>
    <row r="616" spans="1:7" ht="26.4" x14ac:dyDescent="0.3">
      <c r="A616" s="31" t="s">
        <v>1683</v>
      </c>
      <c r="B616" s="32">
        <v>12</v>
      </c>
      <c r="C616" s="10" t="s">
        <v>1669</v>
      </c>
      <c r="D616" s="10" t="s">
        <v>1684</v>
      </c>
      <c r="E616" s="10" t="s">
        <v>2760</v>
      </c>
      <c r="F616" s="10" t="s">
        <v>2761</v>
      </c>
      <c r="G616" s="10"/>
    </row>
    <row r="617" spans="1:7" ht="26.4" x14ac:dyDescent="0.3">
      <c r="A617" s="31" t="s">
        <v>1683</v>
      </c>
      <c r="B617" s="32">
        <v>12</v>
      </c>
      <c r="C617" s="10" t="s">
        <v>1669</v>
      </c>
      <c r="D617" s="10" t="s">
        <v>1684</v>
      </c>
      <c r="E617" s="10" t="s">
        <v>2762</v>
      </c>
      <c r="F617" s="10" t="s">
        <v>2032</v>
      </c>
      <c r="G617" s="10"/>
    </row>
    <row r="618" spans="1:7" ht="26.4" x14ac:dyDescent="0.3">
      <c r="A618" s="31" t="s">
        <v>1683</v>
      </c>
      <c r="B618" s="32">
        <v>12</v>
      </c>
      <c r="C618" s="10" t="s">
        <v>1669</v>
      </c>
      <c r="D618" s="10" t="s">
        <v>1684</v>
      </c>
      <c r="E618" s="10" t="s">
        <v>2763</v>
      </c>
      <c r="F618" s="10" t="s">
        <v>2078</v>
      </c>
      <c r="G618" s="10"/>
    </row>
    <row r="619" spans="1:7" ht="26.4" x14ac:dyDescent="0.3">
      <c r="A619" s="31" t="s">
        <v>1683</v>
      </c>
      <c r="B619" s="32">
        <v>12</v>
      </c>
      <c r="C619" s="10" t="s">
        <v>1669</v>
      </c>
      <c r="D619" s="10" t="s">
        <v>1684</v>
      </c>
      <c r="E619" s="10" t="s">
        <v>2764</v>
      </c>
      <c r="F619" s="10" t="s">
        <v>2136</v>
      </c>
      <c r="G619" s="10"/>
    </row>
    <row r="620" spans="1:7" ht="26.4" x14ac:dyDescent="0.3">
      <c r="A620" s="31" t="s">
        <v>1226</v>
      </c>
      <c r="B620" s="32">
        <v>12</v>
      </c>
      <c r="C620" s="10" t="s">
        <v>1669</v>
      </c>
      <c r="D620" s="10" t="s">
        <v>1690</v>
      </c>
      <c r="E620" s="10" t="s">
        <v>2765</v>
      </c>
      <c r="F620" s="10" t="s">
        <v>2766</v>
      </c>
      <c r="G620" s="10"/>
    </row>
    <row r="621" spans="1:7" ht="26.4" x14ac:dyDescent="0.3">
      <c r="A621" s="31" t="s">
        <v>1226</v>
      </c>
      <c r="B621" s="32">
        <v>12</v>
      </c>
      <c r="C621" s="10" t="s">
        <v>1669</v>
      </c>
      <c r="D621" s="10" t="s">
        <v>1690</v>
      </c>
      <c r="E621" s="10" t="s">
        <v>2767</v>
      </c>
      <c r="F621" s="10" t="s">
        <v>2034</v>
      </c>
      <c r="G621" s="10"/>
    </row>
    <row r="622" spans="1:7" ht="26.4" x14ac:dyDescent="0.3">
      <c r="A622" s="31" t="s">
        <v>1226</v>
      </c>
      <c r="B622" s="32">
        <v>12</v>
      </c>
      <c r="C622" s="10" t="s">
        <v>1669</v>
      </c>
      <c r="D622" s="10" t="s">
        <v>1690</v>
      </c>
      <c r="E622" s="10" t="s">
        <v>2768</v>
      </c>
      <c r="F622" s="10" t="s">
        <v>2034</v>
      </c>
      <c r="G622" s="10"/>
    </row>
    <row r="623" spans="1:7" ht="26.4" x14ac:dyDescent="0.3">
      <c r="A623" s="31" t="s">
        <v>1226</v>
      </c>
      <c r="B623" s="32">
        <v>12</v>
      </c>
      <c r="C623" s="10" t="s">
        <v>1669</v>
      </c>
      <c r="D623" s="10" t="s">
        <v>1690</v>
      </c>
      <c r="E623" s="10" t="s">
        <v>2319</v>
      </c>
      <c r="F623" s="10" t="s">
        <v>2516</v>
      </c>
      <c r="G623" s="10"/>
    </row>
    <row r="624" spans="1:7" ht="26.4" x14ac:dyDescent="0.3">
      <c r="A624" s="31" t="s">
        <v>1226</v>
      </c>
      <c r="B624" s="32">
        <v>12</v>
      </c>
      <c r="C624" s="10" t="s">
        <v>1669</v>
      </c>
      <c r="D624" s="10" t="s">
        <v>1690</v>
      </c>
      <c r="E624" s="10" t="s">
        <v>2769</v>
      </c>
      <c r="F624" s="10" t="s">
        <v>2330</v>
      </c>
      <c r="G624" s="10"/>
    </row>
    <row r="625" spans="1:7" ht="26.4" x14ac:dyDescent="0.3">
      <c r="A625" s="31" t="s">
        <v>1696</v>
      </c>
      <c r="B625" s="32">
        <v>12</v>
      </c>
      <c r="C625" s="10" t="s">
        <v>1669</v>
      </c>
      <c r="D625" s="10" t="s">
        <v>1697</v>
      </c>
      <c r="E625" s="10" t="s">
        <v>2770</v>
      </c>
      <c r="F625" s="10" t="s">
        <v>2771</v>
      </c>
      <c r="G625" s="10"/>
    </row>
    <row r="626" spans="1:7" ht="26.4" x14ac:dyDescent="0.3">
      <c r="A626" s="31" t="s">
        <v>1696</v>
      </c>
      <c r="B626" s="32">
        <v>12</v>
      </c>
      <c r="C626" s="10" t="s">
        <v>1669</v>
      </c>
      <c r="D626" s="10" t="s">
        <v>1697</v>
      </c>
      <c r="E626" s="10" t="s">
        <v>2772</v>
      </c>
      <c r="F626" s="10" t="s">
        <v>2773</v>
      </c>
      <c r="G626" s="10"/>
    </row>
    <row r="627" spans="1:7" ht="26.4" x14ac:dyDescent="0.3">
      <c r="A627" s="31" t="s">
        <v>1696</v>
      </c>
      <c r="B627" s="32">
        <v>12</v>
      </c>
      <c r="C627" s="10" t="s">
        <v>1669</v>
      </c>
      <c r="D627" s="10" t="s">
        <v>1697</v>
      </c>
      <c r="E627" s="10" t="s">
        <v>2774</v>
      </c>
      <c r="F627" s="10" t="s">
        <v>2775</v>
      </c>
      <c r="G627" s="10"/>
    </row>
    <row r="628" spans="1:7" ht="26.4" x14ac:dyDescent="0.3">
      <c r="A628" s="31" t="s">
        <v>1696</v>
      </c>
      <c r="B628" s="32">
        <v>12</v>
      </c>
      <c r="C628" s="10" t="s">
        <v>1669</v>
      </c>
      <c r="D628" s="10" t="s">
        <v>1697</v>
      </c>
      <c r="E628" s="10" t="s">
        <v>2776</v>
      </c>
      <c r="F628" s="10"/>
      <c r="G628" s="10"/>
    </row>
    <row r="629" spans="1:7" ht="26.4" x14ac:dyDescent="0.3">
      <c r="A629" s="31" t="s">
        <v>1703</v>
      </c>
      <c r="B629" s="32">
        <v>12</v>
      </c>
      <c r="C629" s="10" t="s">
        <v>1669</v>
      </c>
      <c r="D629" s="10" t="s">
        <v>1704</v>
      </c>
      <c r="E629" s="10" t="s">
        <v>2777</v>
      </c>
      <c r="F629" s="10" t="s">
        <v>1948</v>
      </c>
      <c r="G629" s="10"/>
    </row>
    <row r="630" spans="1:7" ht="26.4" x14ac:dyDescent="0.3">
      <c r="A630" s="31" t="s">
        <v>1703</v>
      </c>
      <c r="B630" s="32">
        <v>12</v>
      </c>
      <c r="C630" s="10" t="s">
        <v>1669</v>
      </c>
      <c r="D630" s="10" t="s">
        <v>1704</v>
      </c>
      <c r="E630" s="10" t="s">
        <v>2778</v>
      </c>
      <c r="F630" s="10" t="s">
        <v>2032</v>
      </c>
      <c r="G630" s="10"/>
    </row>
    <row r="631" spans="1:7" ht="26.4" x14ac:dyDescent="0.3">
      <c r="A631" s="31" t="s">
        <v>1703</v>
      </c>
      <c r="B631" s="32">
        <v>12</v>
      </c>
      <c r="C631" s="10" t="s">
        <v>1669</v>
      </c>
      <c r="D631" s="10" t="s">
        <v>1704</v>
      </c>
      <c r="E631" s="10" t="s">
        <v>2779</v>
      </c>
      <c r="F631" s="10" t="s">
        <v>2032</v>
      </c>
      <c r="G631" s="10"/>
    </row>
    <row r="632" spans="1:7" ht="26.4" x14ac:dyDescent="0.3">
      <c r="A632" s="31" t="s">
        <v>1703</v>
      </c>
      <c r="B632" s="32">
        <v>12</v>
      </c>
      <c r="C632" s="10" t="s">
        <v>1669</v>
      </c>
      <c r="D632" s="10" t="s">
        <v>1704</v>
      </c>
      <c r="E632" s="10" t="s">
        <v>2780</v>
      </c>
      <c r="F632" s="10"/>
      <c r="G632" s="10"/>
    </row>
    <row r="633" spans="1:7" ht="26.4" x14ac:dyDescent="0.3">
      <c r="A633" s="31" t="s">
        <v>1709</v>
      </c>
      <c r="B633" s="32">
        <v>12</v>
      </c>
      <c r="C633" s="10" t="s">
        <v>1669</v>
      </c>
      <c r="D633" s="10" t="s">
        <v>1710</v>
      </c>
      <c r="E633" s="10" t="s">
        <v>2781</v>
      </c>
      <c r="F633" s="10" t="s">
        <v>2782</v>
      </c>
      <c r="G633" s="10"/>
    </row>
    <row r="634" spans="1:7" ht="26.4" x14ac:dyDescent="0.3">
      <c r="A634" s="31" t="s">
        <v>1709</v>
      </c>
      <c r="B634" s="32">
        <v>12</v>
      </c>
      <c r="C634" s="10" t="s">
        <v>1669</v>
      </c>
      <c r="D634" s="10" t="s">
        <v>1710</v>
      </c>
      <c r="E634" s="10" t="s">
        <v>2783</v>
      </c>
      <c r="F634" s="10" t="s">
        <v>2784</v>
      </c>
      <c r="G634" s="10"/>
    </row>
    <row r="635" spans="1:7" ht="26.4" x14ac:dyDescent="0.3">
      <c r="A635" s="31" t="s">
        <v>1709</v>
      </c>
      <c r="B635" s="32">
        <v>12</v>
      </c>
      <c r="C635" s="10" t="s">
        <v>1669</v>
      </c>
      <c r="D635" s="10" t="s">
        <v>1710</v>
      </c>
      <c r="E635" s="10" t="s">
        <v>2785</v>
      </c>
      <c r="F635" s="10" t="s">
        <v>2238</v>
      </c>
      <c r="G635" s="10"/>
    </row>
    <row r="636" spans="1:7" ht="26.4" x14ac:dyDescent="0.3">
      <c r="A636" s="31" t="s">
        <v>1714</v>
      </c>
      <c r="B636" s="32">
        <v>12</v>
      </c>
      <c r="C636" s="10" t="s">
        <v>1669</v>
      </c>
      <c r="D636" s="10" t="s">
        <v>1715</v>
      </c>
      <c r="E636" s="10" t="s">
        <v>2786</v>
      </c>
      <c r="F636" s="10" t="s">
        <v>2787</v>
      </c>
      <c r="G636" s="10"/>
    </row>
    <row r="637" spans="1:7" ht="26.4" x14ac:dyDescent="0.3">
      <c r="A637" s="31" t="s">
        <v>1714</v>
      </c>
      <c r="B637" s="32">
        <v>12</v>
      </c>
      <c r="C637" s="10" t="s">
        <v>1669</v>
      </c>
      <c r="D637" s="10" t="s">
        <v>1715</v>
      </c>
      <c r="E637" s="10" t="s">
        <v>2788</v>
      </c>
      <c r="F637" s="10" t="s">
        <v>2516</v>
      </c>
      <c r="G637" s="10"/>
    </row>
    <row r="638" spans="1:7" ht="26.4" x14ac:dyDescent="0.3">
      <c r="A638" s="31" t="s">
        <v>1714</v>
      </c>
      <c r="B638" s="32">
        <v>12</v>
      </c>
      <c r="C638" s="10" t="s">
        <v>1669</v>
      </c>
      <c r="D638" s="10" t="s">
        <v>1715</v>
      </c>
      <c r="E638" s="10" t="s">
        <v>2789</v>
      </c>
      <c r="F638" s="10" t="s">
        <v>2790</v>
      </c>
      <c r="G638" s="10"/>
    </row>
    <row r="639" spans="1:7" ht="26.4" x14ac:dyDescent="0.3">
      <c r="A639" s="31" t="s">
        <v>1714</v>
      </c>
      <c r="B639" s="32">
        <v>12</v>
      </c>
      <c r="C639" s="10" t="s">
        <v>1669</v>
      </c>
      <c r="D639" s="10" t="s">
        <v>1715</v>
      </c>
      <c r="E639" s="10" t="s">
        <v>2791</v>
      </c>
      <c r="F639" s="10" t="s">
        <v>2792</v>
      </c>
      <c r="G639" s="10"/>
    </row>
    <row r="640" spans="1:7" x14ac:dyDescent="0.3">
      <c r="A640" s="31" t="s">
        <v>1234</v>
      </c>
      <c r="B640" s="32">
        <v>12</v>
      </c>
      <c r="C640" s="10" t="s">
        <v>1721</v>
      </c>
      <c r="D640" s="10" t="s">
        <v>1722</v>
      </c>
      <c r="E640" s="10" t="s">
        <v>2793</v>
      </c>
      <c r="F640" s="10" t="s">
        <v>2794</v>
      </c>
      <c r="G640" s="10"/>
    </row>
    <row r="641" spans="1:7" x14ac:dyDescent="0.3">
      <c r="A641" s="31" t="s">
        <v>1234</v>
      </c>
      <c r="B641" s="32">
        <v>12</v>
      </c>
      <c r="C641" s="10" t="s">
        <v>1721</v>
      </c>
      <c r="D641" s="10" t="s">
        <v>1722</v>
      </c>
      <c r="E641" s="10" t="s">
        <v>2795</v>
      </c>
      <c r="F641" s="10" t="s">
        <v>2796</v>
      </c>
      <c r="G641" s="10"/>
    </row>
    <row r="642" spans="1:7" x14ac:dyDescent="0.3">
      <c r="A642" s="31" t="s">
        <v>1234</v>
      </c>
      <c r="B642" s="32">
        <v>12</v>
      </c>
      <c r="C642" s="10" t="s">
        <v>1721</v>
      </c>
      <c r="D642" s="10" t="s">
        <v>1722</v>
      </c>
      <c r="E642" s="10" t="s">
        <v>2797</v>
      </c>
      <c r="F642" s="10" t="s">
        <v>2034</v>
      </c>
      <c r="G642" s="10"/>
    </row>
    <row r="643" spans="1:7" x14ac:dyDescent="0.3">
      <c r="A643" s="31" t="s">
        <v>1234</v>
      </c>
      <c r="B643" s="32">
        <v>12</v>
      </c>
      <c r="C643" s="10" t="s">
        <v>1721</v>
      </c>
      <c r="D643" s="10" t="s">
        <v>1722</v>
      </c>
      <c r="E643" s="10" t="s">
        <v>2798</v>
      </c>
      <c r="F643" s="10" t="s">
        <v>2136</v>
      </c>
      <c r="G643" s="10"/>
    </row>
    <row r="644" spans="1:7" x14ac:dyDescent="0.3">
      <c r="A644" s="31" t="s">
        <v>1234</v>
      </c>
      <c r="B644" s="32">
        <v>12</v>
      </c>
      <c r="C644" s="10" t="s">
        <v>1721</v>
      </c>
      <c r="D644" s="10" t="s">
        <v>1722</v>
      </c>
      <c r="E644" s="10" t="s">
        <v>2799</v>
      </c>
      <c r="F644" s="10" t="s">
        <v>2136</v>
      </c>
      <c r="G644" s="10"/>
    </row>
    <row r="645" spans="1:7" x14ac:dyDescent="0.3">
      <c r="A645" s="31" t="s">
        <v>1726</v>
      </c>
      <c r="B645" s="32">
        <v>12</v>
      </c>
      <c r="C645" s="10" t="s">
        <v>1721</v>
      </c>
      <c r="D645" s="10" t="s">
        <v>1727</v>
      </c>
      <c r="E645" s="10" t="s">
        <v>2800</v>
      </c>
      <c r="F645" s="10" t="s">
        <v>2801</v>
      </c>
      <c r="G645" s="10"/>
    </row>
    <row r="646" spans="1:7" x14ac:dyDescent="0.3">
      <c r="A646" s="31" t="s">
        <v>1726</v>
      </c>
      <c r="B646" s="32">
        <v>12</v>
      </c>
      <c r="C646" s="10" t="s">
        <v>1721</v>
      </c>
      <c r="D646" s="10" t="s">
        <v>1727</v>
      </c>
      <c r="E646" s="10" t="s">
        <v>2802</v>
      </c>
      <c r="F646" s="10" t="s">
        <v>2034</v>
      </c>
      <c r="G646" s="10"/>
    </row>
    <row r="647" spans="1:7" x14ac:dyDescent="0.3">
      <c r="A647" s="31" t="s">
        <v>1726</v>
      </c>
      <c r="B647" s="32">
        <v>12</v>
      </c>
      <c r="C647" s="10" t="s">
        <v>1721</v>
      </c>
      <c r="D647" s="10" t="s">
        <v>1727</v>
      </c>
      <c r="E647" s="10" t="s">
        <v>2803</v>
      </c>
      <c r="F647" s="10" t="s">
        <v>2804</v>
      </c>
      <c r="G647" s="10"/>
    </row>
    <row r="648" spans="1:7" x14ac:dyDescent="0.3">
      <c r="A648" s="31" t="s">
        <v>1726</v>
      </c>
      <c r="B648" s="32">
        <v>12</v>
      </c>
      <c r="C648" s="10" t="s">
        <v>1721</v>
      </c>
      <c r="D648" s="10" t="s">
        <v>1727</v>
      </c>
      <c r="E648" s="10" t="s">
        <v>2805</v>
      </c>
      <c r="F648" s="10"/>
      <c r="G648" s="10"/>
    </row>
    <row r="649" spans="1:7" x14ac:dyDescent="0.3">
      <c r="A649" s="31" t="s">
        <v>1726</v>
      </c>
      <c r="B649" s="32">
        <v>12</v>
      </c>
      <c r="C649" s="10" t="s">
        <v>1721</v>
      </c>
      <c r="D649" s="10" t="s">
        <v>1727</v>
      </c>
      <c r="E649" s="10" t="s">
        <v>2806</v>
      </c>
      <c r="F649" s="10" t="s">
        <v>2136</v>
      </c>
      <c r="G649" s="10"/>
    </row>
    <row r="650" spans="1:7" x14ac:dyDescent="0.3">
      <c r="A650" s="31" t="s">
        <v>1732</v>
      </c>
      <c r="B650" s="32">
        <v>12</v>
      </c>
      <c r="C650" s="10" t="s">
        <v>1721</v>
      </c>
      <c r="D650" s="10" t="s">
        <v>1733</v>
      </c>
      <c r="E650" s="10" t="s">
        <v>2807</v>
      </c>
      <c r="F650" s="10" t="s">
        <v>2808</v>
      </c>
      <c r="G650" s="10"/>
    </row>
    <row r="651" spans="1:7" x14ac:dyDescent="0.3">
      <c r="A651" s="31" t="s">
        <v>1732</v>
      </c>
      <c r="B651" s="32">
        <v>12</v>
      </c>
      <c r="C651" s="10" t="s">
        <v>1721</v>
      </c>
      <c r="D651" s="10" t="s">
        <v>1733</v>
      </c>
      <c r="E651" s="10" t="s">
        <v>2809</v>
      </c>
      <c r="F651" s="10" t="s">
        <v>2034</v>
      </c>
      <c r="G651" s="10"/>
    </row>
    <row r="652" spans="1:7" x14ac:dyDescent="0.3">
      <c r="A652" s="31" t="s">
        <v>1732</v>
      </c>
      <c r="B652" s="32">
        <v>12</v>
      </c>
      <c r="C652" s="10" t="s">
        <v>1721</v>
      </c>
      <c r="D652" s="10" t="s">
        <v>1733</v>
      </c>
      <c r="E652" s="10" t="s">
        <v>2810</v>
      </c>
      <c r="F652" s="10" t="s">
        <v>2804</v>
      </c>
      <c r="G652" s="10"/>
    </row>
    <row r="653" spans="1:7" x14ac:dyDescent="0.3">
      <c r="A653" s="31" t="s">
        <v>1732</v>
      </c>
      <c r="B653" s="32">
        <v>12</v>
      </c>
      <c r="C653" s="10" t="s">
        <v>1721</v>
      </c>
      <c r="D653" s="10" t="s">
        <v>1733</v>
      </c>
      <c r="E653" s="10" t="s">
        <v>2811</v>
      </c>
      <c r="F653" s="10"/>
      <c r="G653" s="10"/>
    </row>
    <row r="654" spans="1:7" x14ac:dyDescent="0.3">
      <c r="A654" s="31" t="s">
        <v>1732</v>
      </c>
      <c r="B654" s="32">
        <v>12</v>
      </c>
      <c r="C654" s="10" t="s">
        <v>1721</v>
      </c>
      <c r="D654" s="10" t="s">
        <v>1733</v>
      </c>
      <c r="E654" s="10" t="s">
        <v>2806</v>
      </c>
      <c r="F654" s="10" t="s">
        <v>2136</v>
      </c>
      <c r="G654" s="10"/>
    </row>
    <row r="655" spans="1:7" x14ac:dyDescent="0.3">
      <c r="A655" s="31" t="s">
        <v>1737</v>
      </c>
      <c r="B655" s="32">
        <v>12</v>
      </c>
      <c r="C655" s="10" t="s">
        <v>1721</v>
      </c>
      <c r="D655" s="10" t="s">
        <v>1738</v>
      </c>
      <c r="E655" s="10" t="s">
        <v>2812</v>
      </c>
      <c r="F655" s="10" t="s">
        <v>2813</v>
      </c>
      <c r="G655" s="10"/>
    </row>
    <row r="656" spans="1:7" x14ac:dyDescent="0.3">
      <c r="A656" s="31" t="s">
        <v>1737</v>
      </c>
      <c r="B656" s="32">
        <v>12</v>
      </c>
      <c r="C656" s="10" t="s">
        <v>1721</v>
      </c>
      <c r="D656" s="10" t="s">
        <v>1738</v>
      </c>
      <c r="E656" s="10" t="s">
        <v>2814</v>
      </c>
      <c r="F656" s="10" t="s">
        <v>2032</v>
      </c>
      <c r="G656" s="10"/>
    </row>
    <row r="657" spans="1:7" x14ac:dyDescent="0.3">
      <c r="A657" s="31" t="s">
        <v>1737</v>
      </c>
      <c r="B657" s="32">
        <v>12</v>
      </c>
      <c r="C657" s="10" t="s">
        <v>1721</v>
      </c>
      <c r="D657" s="10" t="s">
        <v>1738</v>
      </c>
      <c r="E657" s="10" t="s">
        <v>2815</v>
      </c>
      <c r="F657" s="10" t="s">
        <v>2816</v>
      </c>
      <c r="G657" s="10"/>
    </row>
    <row r="658" spans="1:7" x14ac:dyDescent="0.3">
      <c r="A658" s="31" t="s">
        <v>1737</v>
      </c>
      <c r="B658" s="32">
        <v>12</v>
      </c>
      <c r="C658" s="10" t="s">
        <v>1721</v>
      </c>
      <c r="D658" s="10" t="s">
        <v>1738</v>
      </c>
      <c r="E658" s="10" t="s">
        <v>2817</v>
      </c>
      <c r="F658" s="10" t="s">
        <v>2818</v>
      </c>
      <c r="G658" s="10"/>
    </row>
    <row r="659" spans="1:7" x14ac:dyDescent="0.3">
      <c r="A659" s="31" t="s">
        <v>1737</v>
      </c>
      <c r="B659" s="32">
        <v>12</v>
      </c>
      <c r="C659" s="10" t="s">
        <v>1721</v>
      </c>
      <c r="D659" s="10" t="s">
        <v>1738</v>
      </c>
      <c r="E659" s="10" t="s">
        <v>2819</v>
      </c>
      <c r="F659" s="10" t="s">
        <v>2136</v>
      </c>
      <c r="G659" s="10"/>
    </row>
    <row r="660" spans="1:7" x14ac:dyDescent="0.3">
      <c r="A660" s="31" t="s">
        <v>1737</v>
      </c>
      <c r="B660" s="32">
        <v>12</v>
      </c>
      <c r="C660" s="10" t="s">
        <v>1721</v>
      </c>
      <c r="D660" s="10" t="s">
        <v>1738</v>
      </c>
      <c r="E660" s="10" t="s">
        <v>2820</v>
      </c>
      <c r="F660" s="10" t="s">
        <v>2034</v>
      </c>
      <c r="G660" s="10"/>
    </row>
    <row r="661" spans="1:7" x14ac:dyDescent="0.3">
      <c r="A661" s="31" t="s">
        <v>1737</v>
      </c>
      <c r="B661" s="32">
        <v>12</v>
      </c>
      <c r="C661" s="10" t="s">
        <v>1721</v>
      </c>
      <c r="D661" s="10" t="s">
        <v>1738</v>
      </c>
      <c r="E661" s="10" t="s">
        <v>2821</v>
      </c>
      <c r="F661" s="10" t="s">
        <v>2822</v>
      </c>
      <c r="G661" s="10"/>
    </row>
    <row r="662" spans="1:7" x14ac:dyDescent="0.3">
      <c r="A662" s="31" t="s">
        <v>1744</v>
      </c>
      <c r="B662" s="32">
        <v>12</v>
      </c>
      <c r="C662" s="10" t="s">
        <v>1721</v>
      </c>
      <c r="D662" s="10" t="s">
        <v>1745</v>
      </c>
      <c r="E662" s="10" t="s">
        <v>2823</v>
      </c>
      <c r="F662" s="10" t="s">
        <v>2036</v>
      </c>
      <c r="G662" s="10"/>
    </row>
    <row r="663" spans="1:7" x14ac:dyDescent="0.3">
      <c r="A663" s="31" t="s">
        <v>1744</v>
      </c>
      <c r="B663" s="32">
        <v>12</v>
      </c>
      <c r="C663" s="10" t="s">
        <v>1721</v>
      </c>
      <c r="D663" s="10" t="s">
        <v>1745</v>
      </c>
      <c r="E663" s="10" t="s">
        <v>2786</v>
      </c>
      <c r="F663" s="10" t="s">
        <v>2787</v>
      </c>
      <c r="G663" s="10"/>
    </row>
    <row r="664" spans="1:7" ht="26.4" x14ac:dyDescent="0.3">
      <c r="A664" s="31" t="s">
        <v>1744</v>
      </c>
      <c r="B664" s="32">
        <v>12</v>
      </c>
      <c r="C664" s="10" t="s">
        <v>1721</v>
      </c>
      <c r="D664" s="10" t="s">
        <v>1745</v>
      </c>
      <c r="E664" s="10" t="s">
        <v>2824</v>
      </c>
      <c r="F664" s="10"/>
      <c r="G664" s="10"/>
    </row>
    <row r="665" spans="1:7" x14ac:dyDescent="0.3">
      <c r="A665" s="31" t="s">
        <v>1744</v>
      </c>
      <c r="B665" s="32">
        <v>12</v>
      </c>
      <c r="C665" s="10" t="s">
        <v>1721</v>
      </c>
      <c r="D665" s="10" t="s">
        <v>1745</v>
      </c>
      <c r="E665" s="10" t="s">
        <v>2825</v>
      </c>
      <c r="F665" s="10" t="s">
        <v>2092</v>
      </c>
      <c r="G665" s="10"/>
    </row>
    <row r="666" spans="1:7" x14ac:dyDescent="0.3">
      <c r="A666" s="31" t="s">
        <v>1744</v>
      </c>
      <c r="B666" s="32">
        <v>12</v>
      </c>
      <c r="C666" s="10" t="s">
        <v>1721</v>
      </c>
      <c r="D666" s="10" t="s">
        <v>1745</v>
      </c>
      <c r="E666" s="10" t="s">
        <v>2826</v>
      </c>
      <c r="F666" s="10" t="s">
        <v>2330</v>
      </c>
      <c r="G666" s="10"/>
    </row>
    <row r="667" spans="1:7" x14ac:dyDescent="0.3">
      <c r="A667" s="31" t="s">
        <v>1248</v>
      </c>
      <c r="B667" s="32">
        <v>12</v>
      </c>
      <c r="C667" s="10" t="s">
        <v>1721</v>
      </c>
      <c r="D667" s="10" t="s">
        <v>1751</v>
      </c>
      <c r="E667" s="10" t="s">
        <v>2827</v>
      </c>
      <c r="F667" s="10" t="s">
        <v>2322</v>
      </c>
      <c r="G667" s="10"/>
    </row>
    <row r="668" spans="1:7" x14ac:dyDescent="0.3">
      <c r="A668" s="31" t="s">
        <v>1248</v>
      </c>
      <c r="B668" s="32">
        <v>12</v>
      </c>
      <c r="C668" s="10" t="s">
        <v>1721</v>
      </c>
      <c r="D668" s="10" t="s">
        <v>1751</v>
      </c>
      <c r="E668" s="10" t="s">
        <v>2323</v>
      </c>
      <c r="F668" s="10" t="s">
        <v>2136</v>
      </c>
      <c r="G668" s="10"/>
    </row>
    <row r="669" spans="1:7" x14ac:dyDescent="0.3">
      <c r="A669" s="31" t="s">
        <v>1248</v>
      </c>
      <c r="B669" s="32">
        <v>12</v>
      </c>
      <c r="C669" s="10" t="s">
        <v>1721</v>
      </c>
      <c r="D669" s="10" t="s">
        <v>1751</v>
      </c>
      <c r="E669" s="10" t="s">
        <v>2828</v>
      </c>
      <c r="F669" s="10"/>
      <c r="G669" s="10"/>
    </row>
    <row r="670" spans="1:7" x14ac:dyDescent="0.3">
      <c r="A670" s="31" t="s">
        <v>1248</v>
      </c>
      <c r="B670" s="32">
        <v>12</v>
      </c>
      <c r="C670" s="10" t="s">
        <v>1721</v>
      </c>
      <c r="D670" s="10" t="s">
        <v>1751</v>
      </c>
      <c r="E670" s="10" t="s">
        <v>2829</v>
      </c>
      <c r="F670" s="10"/>
      <c r="G670" s="10"/>
    </row>
    <row r="671" spans="1:7" x14ac:dyDescent="0.3">
      <c r="A671" s="31" t="s">
        <v>1248</v>
      </c>
      <c r="B671" s="32">
        <v>12</v>
      </c>
      <c r="C671" s="10" t="s">
        <v>1721</v>
      </c>
      <c r="D671" s="10" t="s">
        <v>1751</v>
      </c>
      <c r="E671" s="10" t="s">
        <v>2830</v>
      </c>
      <c r="F671" s="10" t="s">
        <v>2136</v>
      </c>
      <c r="G671" s="10"/>
    </row>
    <row r="672" spans="1:7" x14ac:dyDescent="0.3">
      <c r="A672" s="31" t="s">
        <v>1248</v>
      </c>
      <c r="B672" s="32">
        <v>12</v>
      </c>
      <c r="C672" s="10" t="s">
        <v>1721</v>
      </c>
      <c r="D672" s="10" t="s">
        <v>1751</v>
      </c>
      <c r="E672" s="10" t="s">
        <v>2831</v>
      </c>
      <c r="F672" s="10" t="s">
        <v>2136</v>
      </c>
      <c r="G672" s="10"/>
    </row>
    <row r="673" spans="1:7" x14ac:dyDescent="0.3">
      <c r="A673" s="31" t="s">
        <v>1248</v>
      </c>
      <c r="B673" s="32">
        <v>12</v>
      </c>
      <c r="C673" s="10" t="s">
        <v>1721</v>
      </c>
      <c r="D673" s="10" t="s">
        <v>1751</v>
      </c>
      <c r="E673" s="10" t="s">
        <v>2832</v>
      </c>
      <c r="F673" s="10"/>
      <c r="G673" s="10"/>
    </row>
    <row r="674" spans="1:7" x14ac:dyDescent="0.3">
      <c r="A674" s="31" t="s">
        <v>1766</v>
      </c>
      <c r="B674" s="32">
        <v>12</v>
      </c>
      <c r="C674" s="10" t="s">
        <v>1759</v>
      </c>
      <c r="D674" s="10" t="s">
        <v>1767</v>
      </c>
      <c r="E674" s="10" t="s">
        <v>2833</v>
      </c>
      <c r="F674" s="10" t="s">
        <v>2034</v>
      </c>
      <c r="G674" s="10"/>
    </row>
    <row r="675" spans="1:7" x14ac:dyDescent="0.3">
      <c r="A675" s="31" t="s">
        <v>1766</v>
      </c>
      <c r="B675" s="32">
        <v>12</v>
      </c>
      <c r="C675" s="10" t="s">
        <v>1759</v>
      </c>
      <c r="D675" s="10" t="s">
        <v>1767</v>
      </c>
      <c r="E675" s="10" t="s">
        <v>2834</v>
      </c>
      <c r="F675" s="10" t="s">
        <v>2835</v>
      </c>
      <c r="G675" s="10"/>
    </row>
    <row r="676" spans="1:7" x14ac:dyDescent="0.3">
      <c r="A676" s="31" t="s">
        <v>1772</v>
      </c>
      <c r="B676" s="32">
        <v>12</v>
      </c>
      <c r="C676" s="10" t="s">
        <v>1759</v>
      </c>
      <c r="D676" s="10" t="s">
        <v>1773</v>
      </c>
      <c r="E676" s="10" t="s">
        <v>2836</v>
      </c>
      <c r="F676" s="10" t="s">
        <v>2837</v>
      </c>
      <c r="G676" s="10"/>
    </row>
    <row r="677" spans="1:7" x14ac:dyDescent="0.3">
      <c r="A677" s="31" t="s">
        <v>1772</v>
      </c>
      <c r="B677" s="32">
        <v>12</v>
      </c>
      <c r="C677" s="10" t="s">
        <v>1759</v>
      </c>
      <c r="D677" s="10" t="s">
        <v>1773</v>
      </c>
      <c r="E677" s="10" t="s">
        <v>2838</v>
      </c>
      <c r="F677" s="10" t="s">
        <v>2839</v>
      </c>
      <c r="G677" s="10"/>
    </row>
    <row r="678" spans="1:7" x14ac:dyDescent="0.3">
      <c r="A678" s="31" t="s">
        <v>1772</v>
      </c>
      <c r="B678" s="32">
        <v>12</v>
      </c>
      <c r="C678" s="10" t="s">
        <v>1759</v>
      </c>
      <c r="D678" s="10" t="s">
        <v>1773</v>
      </c>
      <c r="E678" s="10" t="s">
        <v>2840</v>
      </c>
      <c r="F678" s="10" t="s">
        <v>2032</v>
      </c>
      <c r="G678" s="10"/>
    </row>
    <row r="679" spans="1:7" x14ac:dyDescent="0.3">
      <c r="A679" s="31" t="s">
        <v>1772</v>
      </c>
      <c r="B679" s="32">
        <v>12</v>
      </c>
      <c r="C679" s="10" t="s">
        <v>1759</v>
      </c>
      <c r="D679" s="10" t="s">
        <v>1773</v>
      </c>
      <c r="E679" s="10" t="s">
        <v>2841</v>
      </c>
      <c r="F679" s="10" t="s">
        <v>2842</v>
      </c>
      <c r="G679" s="10"/>
    </row>
    <row r="680" spans="1:7" ht="26.4" x14ac:dyDescent="0.3">
      <c r="A680" s="31" t="s">
        <v>1779</v>
      </c>
      <c r="B680" s="32">
        <v>12</v>
      </c>
      <c r="C680" s="10" t="s">
        <v>1759</v>
      </c>
      <c r="D680" s="10" t="s">
        <v>1781</v>
      </c>
      <c r="E680" s="10" t="s">
        <v>2843</v>
      </c>
      <c r="F680" s="10" t="s">
        <v>2844</v>
      </c>
      <c r="G680" s="10"/>
    </row>
    <row r="681" spans="1:7" ht="26.4" x14ac:dyDescent="0.3">
      <c r="A681" s="31" t="s">
        <v>1779</v>
      </c>
      <c r="B681" s="32">
        <v>12</v>
      </c>
      <c r="C681" s="10" t="s">
        <v>1759</v>
      </c>
      <c r="D681" s="10" t="s">
        <v>1781</v>
      </c>
      <c r="E681" s="10" t="s">
        <v>2845</v>
      </c>
      <c r="F681" s="10" t="s">
        <v>1940</v>
      </c>
      <c r="G681" s="10"/>
    </row>
    <row r="682" spans="1:7" x14ac:dyDescent="0.3">
      <c r="A682" s="31" t="s">
        <v>1788</v>
      </c>
      <c r="B682" s="32">
        <v>12</v>
      </c>
      <c r="C682" s="10" t="s">
        <v>1759</v>
      </c>
      <c r="D682" s="10" t="s">
        <v>1789</v>
      </c>
      <c r="E682" s="10" t="s">
        <v>2846</v>
      </c>
      <c r="F682" s="10" t="s">
        <v>2847</v>
      </c>
      <c r="G682" s="10"/>
    </row>
    <row r="683" spans="1:7" x14ac:dyDescent="0.3">
      <c r="A683" s="31" t="s">
        <v>1788</v>
      </c>
      <c r="B683" s="32">
        <v>12</v>
      </c>
      <c r="C683" s="10" t="s">
        <v>1759</v>
      </c>
      <c r="D683" s="10" t="s">
        <v>1789</v>
      </c>
      <c r="E683" s="10" t="s">
        <v>2848</v>
      </c>
      <c r="F683" s="10" t="s">
        <v>2849</v>
      </c>
      <c r="G683" s="10"/>
    </row>
    <row r="684" spans="1:7" x14ac:dyDescent="0.3">
      <c r="A684" s="31" t="s">
        <v>1788</v>
      </c>
      <c r="B684" s="32">
        <v>12</v>
      </c>
      <c r="C684" s="10" t="s">
        <v>1759</v>
      </c>
      <c r="D684" s="10" t="s">
        <v>1789</v>
      </c>
      <c r="E684" s="10" t="s">
        <v>2850</v>
      </c>
      <c r="F684" s="10" t="s">
        <v>2851</v>
      </c>
      <c r="G684" s="10"/>
    </row>
    <row r="685" spans="1:7" x14ac:dyDescent="0.3">
      <c r="A685" s="31" t="s">
        <v>1788</v>
      </c>
      <c r="B685" s="32">
        <v>12</v>
      </c>
      <c r="C685" s="10" t="s">
        <v>1759</v>
      </c>
      <c r="D685" s="10" t="s">
        <v>1789</v>
      </c>
      <c r="E685" s="10" t="s">
        <v>2852</v>
      </c>
      <c r="F685" s="10" t="s">
        <v>2737</v>
      </c>
      <c r="G685" s="10"/>
    </row>
    <row r="686" spans="1:7" x14ac:dyDescent="0.3">
      <c r="A686" s="31" t="s">
        <v>1788</v>
      </c>
      <c r="B686" s="32">
        <v>12</v>
      </c>
      <c r="C686" s="10" t="s">
        <v>1759</v>
      </c>
      <c r="D686" s="10" t="s">
        <v>1789</v>
      </c>
      <c r="E686" s="10" t="s">
        <v>2853</v>
      </c>
      <c r="F686" s="10" t="s">
        <v>2238</v>
      </c>
      <c r="G686" s="10"/>
    </row>
    <row r="687" spans="1:7" x14ac:dyDescent="0.3">
      <c r="A687" s="31" t="s">
        <v>1788</v>
      </c>
      <c r="B687" s="32">
        <v>12</v>
      </c>
      <c r="C687" s="10" t="s">
        <v>1759</v>
      </c>
      <c r="D687" s="10" t="s">
        <v>1789</v>
      </c>
      <c r="E687" s="10" t="s">
        <v>2854</v>
      </c>
      <c r="F687" s="10" t="s">
        <v>2238</v>
      </c>
      <c r="G687" s="10"/>
    </row>
    <row r="688" spans="1:7" x14ac:dyDescent="0.3">
      <c r="A688" s="31" t="s">
        <v>1788</v>
      </c>
      <c r="B688" s="32">
        <v>12</v>
      </c>
      <c r="C688" s="10" t="s">
        <v>1759</v>
      </c>
      <c r="D688" s="10" t="s">
        <v>1789</v>
      </c>
      <c r="E688" s="10" t="s">
        <v>2855</v>
      </c>
      <c r="F688" s="10" t="s">
        <v>2238</v>
      </c>
      <c r="G688" s="10"/>
    </row>
    <row r="689" spans="1:7" x14ac:dyDescent="0.3">
      <c r="A689" s="31" t="s">
        <v>1788</v>
      </c>
      <c r="B689" s="32">
        <v>12</v>
      </c>
      <c r="C689" s="10" t="s">
        <v>1759</v>
      </c>
      <c r="D689" s="10" t="s">
        <v>1789</v>
      </c>
      <c r="E689" s="10" t="s">
        <v>2856</v>
      </c>
      <c r="F689" s="10" t="s">
        <v>2490</v>
      </c>
      <c r="G689" s="10"/>
    </row>
    <row r="690" spans="1:7" x14ac:dyDescent="0.3">
      <c r="A690" s="31" t="s">
        <v>1788</v>
      </c>
      <c r="B690" s="32">
        <v>12</v>
      </c>
      <c r="C690" s="10" t="s">
        <v>1759</v>
      </c>
      <c r="D690" s="10" t="s">
        <v>1789</v>
      </c>
      <c r="E690" s="10" t="s">
        <v>2857</v>
      </c>
      <c r="F690" s="10" t="s">
        <v>2858</v>
      </c>
      <c r="G690" s="10"/>
    </row>
    <row r="691" spans="1:7" x14ac:dyDescent="0.3">
      <c r="A691" s="31" t="s">
        <v>1795</v>
      </c>
      <c r="B691" s="32">
        <v>12</v>
      </c>
      <c r="C691" s="10" t="s">
        <v>1759</v>
      </c>
      <c r="D691" s="10" t="s">
        <v>1796</v>
      </c>
      <c r="E691" s="10" t="s">
        <v>2859</v>
      </c>
      <c r="F691" s="10" t="s">
        <v>2080</v>
      </c>
      <c r="G691" s="10"/>
    </row>
    <row r="692" spans="1:7" x14ac:dyDescent="0.3">
      <c r="A692" s="31" t="s">
        <v>1795</v>
      </c>
      <c r="B692" s="32">
        <v>12</v>
      </c>
      <c r="C692" s="10" t="s">
        <v>1759</v>
      </c>
      <c r="D692" s="10" t="s">
        <v>1796</v>
      </c>
      <c r="E692" s="10" t="s">
        <v>2860</v>
      </c>
      <c r="F692" s="10" t="s">
        <v>1948</v>
      </c>
      <c r="G692" s="10"/>
    </row>
    <row r="693" spans="1:7" x14ac:dyDescent="0.3">
      <c r="A693" s="31" t="s">
        <v>1795</v>
      </c>
      <c r="B693" s="32">
        <v>12</v>
      </c>
      <c r="C693" s="10" t="s">
        <v>1759</v>
      </c>
      <c r="D693" s="10" t="s">
        <v>1796</v>
      </c>
      <c r="E693" s="10" t="s">
        <v>2861</v>
      </c>
      <c r="F693" s="10" t="s">
        <v>1940</v>
      </c>
      <c r="G693" s="10"/>
    </row>
    <row r="694" spans="1:7" x14ac:dyDescent="0.3">
      <c r="A694" s="31" t="s">
        <v>1800</v>
      </c>
      <c r="B694" s="32">
        <v>12</v>
      </c>
      <c r="C694" s="10" t="s">
        <v>1759</v>
      </c>
      <c r="D694" s="10" t="s">
        <v>1802</v>
      </c>
      <c r="E694" s="10" t="s">
        <v>2862</v>
      </c>
      <c r="F694" s="10"/>
      <c r="G694" s="10"/>
    </row>
    <row r="695" spans="1:7" x14ac:dyDescent="0.3">
      <c r="A695" s="31" t="s">
        <v>1800</v>
      </c>
      <c r="B695" s="32">
        <v>12</v>
      </c>
      <c r="C695" s="10" t="s">
        <v>1759</v>
      </c>
      <c r="D695" s="10" t="s">
        <v>1802</v>
      </c>
      <c r="E695" s="10" t="s">
        <v>2863</v>
      </c>
      <c r="F695" s="10"/>
      <c r="G695" s="10"/>
    </row>
    <row r="696" spans="1:7" x14ac:dyDescent="0.3">
      <c r="A696" s="31" t="s">
        <v>1800</v>
      </c>
      <c r="B696" s="32">
        <v>12</v>
      </c>
      <c r="C696" s="10" t="s">
        <v>1759</v>
      </c>
      <c r="D696" s="10" t="s">
        <v>1802</v>
      </c>
      <c r="E696" s="10" t="s">
        <v>2864</v>
      </c>
      <c r="F696" s="10" t="s">
        <v>2344</v>
      </c>
      <c r="G696" s="10"/>
    </row>
    <row r="697" spans="1:7" x14ac:dyDescent="0.3">
      <c r="A697" s="31" t="s">
        <v>1800</v>
      </c>
      <c r="B697" s="32">
        <v>12</v>
      </c>
      <c r="C697" s="10" t="s">
        <v>1759</v>
      </c>
      <c r="D697" s="10" t="s">
        <v>1802</v>
      </c>
      <c r="E697" s="10" t="s">
        <v>2865</v>
      </c>
      <c r="F697" s="10" t="s">
        <v>1940</v>
      </c>
      <c r="G697" s="10"/>
    </row>
    <row r="698" spans="1:7" x14ac:dyDescent="0.3">
      <c r="A698" s="31" t="s">
        <v>1806</v>
      </c>
      <c r="B698" s="32">
        <v>12</v>
      </c>
      <c r="C698" s="10" t="s">
        <v>1759</v>
      </c>
      <c r="D698" s="10" t="s">
        <v>1807</v>
      </c>
      <c r="E698" s="10" t="s">
        <v>2866</v>
      </c>
      <c r="F698" s="10"/>
      <c r="G698" s="10"/>
    </row>
    <row r="699" spans="1:7" x14ac:dyDescent="0.3">
      <c r="A699" s="31" t="s">
        <v>1806</v>
      </c>
      <c r="B699" s="32">
        <v>12</v>
      </c>
      <c r="C699" s="10" t="s">
        <v>1759</v>
      </c>
      <c r="D699" s="10" t="s">
        <v>1807</v>
      </c>
      <c r="E699" s="10" t="s">
        <v>2867</v>
      </c>
      <c r="F699" s="10"/>
      <c r="G699" s="10"/>
    </row>
    <row r="700" spans="1:7" x14ac:dyDescent="0.3">
      <c r="A700" s="31" t="s">
        <v>1806</v>
      </c>
      <c r="B700" s="32">
        <v>12</v>
      </c>
      <c r="C700" s="10" t="s">
        <v>1759</v>
      </c>
      <c r="D700" s="10" t="s">
        <v>1807</v>
      </c>
      <c r="E700" s="10" t="s">
        <v>2868</v>
      </c>
      <c r="F700" s="10" t="s">
        <v>2080</v>
      </c>
      <c r="G700" s="10"/>
    </row>
    <row r="701" spans="1:7" x14ac:dyDescent="0.3">
      <c r="A701" s="31" t="s">
        <v>1806</v>
      </c>
      <c r="B701" s="32">
        <v>12</v>
      </c>
      <c r="C701" s="10" t="s">
        <v>1759</v>
      </c>
      <c r="D701" s="10" t="s">
        <v>1807</v>
      </c>
      <c r="E701" s="10" t="s">
        <v>2869</v>
      </c>
      <c r="F701" s="10" t="s">
        <v>2870</v>
      </c>
      <c r="G701" s="10"/>
    </row>
    <row r="702" spans="1:7" x14ac:dyDescent="0.3">
      <c r="A702" s="31" t="s">
        <v>1813</v>
      </c>
      <c r="B702" s="32">
        <v>12</v>
      </c>
      <c r="C702" s="10" t="s">
        <v>1759</v>
      </c>
      <c r="D702" s="10" t="s">
        <v>1814</v>
      </c>
      <c r="E702" s="10" t="s">
        <v>2871</v>
      </c>
      <c r="F702" s="10" t="s">
        <v>2872</v>
      </c>
      <c r="G702" s="10"/>
    </row>
    <row r="703" spans="1:7" x14ac:dyDescent="0.3">
      <c r="A703" s="31" t="s">
        <v>1813</v>
      </c>
      <c r="B703" s="32">
        <v>12</v>
      </c>
      <c r="C703" s="10" t="s">
        <v>1759</v>
      </c>
      <c r="D703" s="10" t="s">
        <v>1814</v>
      </c>
      <c r="E703" s="10" t="s">
        <v>2873</v>
      </c>
      <c r="F703" s="10" t="s">
        <v>2874</v>
      </c>
      <c r="G703" s="10"/>
    </row>
    <row r="704" spans="1:7" x14ac:dyDescent="0.3">
      <c r="A704" s="31" t="s">
        <v>1813</v>
      </c>
      <c r="B704" s="32">
        <v>12</v>
      </c>
      <c r="C704" s="10" t="s">
        <v>1759</v>
      </c>
      <c r="D704" s="10" t="s">
        <v>1814</v>
      </c>
      <c r="E704" s="10" t="s">
        <v>2875</v>
      </c>
      <c r="F704" s="10" t="s">
        <v>2238</v>
      </c>
      <c r="G704" s="10"/>
    </row>
    <row r="705" spans="1:7" x14ac:dyDescent="0.3">
      <c r="A705" s="31" t="s">
        <v>1813</v>
      </c>
      <c r="B705" s="32">
        <v>12</v>
      </c>
      <c r="C705" s="10" t="s">
        <v>1759</v>
      </c>
      <c r="D705" s="10" t="s">
        <v>1814</v>
      </c>
      <c r="E705" s="10" t="s">
        <v>2876</v>
      </c>
      <c r="F705" s="10" t="s">
        <v>2877</v>
      </c>
      <c r="G705" s="10"/>
    </row>
    <row r="706" spans="1:7" x14ac:dyDescent="0.3">
      <c r="A706" s="31" t="s">
        <v>1813</v>
      </c>
      <c r="B706" s="32">
        <v>12</v>
      </c>
      <c r="C706" s="10" t="s">
        <v>1759</v>
      </c>
      <c r="D706" s="10" t="s">
        <v>1814</v>
      </c>
      <c r="E706" s="10" t="s">
        <v>2878</v>
      </c>
      <c r="F706" s="10" t="s">
        <v>2080</v>
      </c>
      <c r="G706" s="10"/>
    </row>
    <row r="707" spans="1:7" x14ac:dyDescent="0.3">
      <c r="A707" s="31" t="s">
        <v>1813</v>
      </c>
      <c r="B707" s="32">
        <v>12</v>
      </c>
      <c r="C707" s="10" t="s">
        <v>1759</v>
      </c>
      <c r="D707" s="10" t="s">
        <v>1814</v>
      </c>
      <c r="E707" s="10" t="s">
        <v>2879</v>
      </c>
      <c r="F707" s="10" t="s">
        <v>2880</v>
      </c>
      <c r="G707" s="10"/>
    </row>
    <row r="708" spans="1:7" x14ac:dyDescent="0.3">
      <c r="A708" s="31" t="s">
        <v>1813</v>
      </c>
      <c r="B708" s="32">
        <v>12</v>
      </c>
      <c r="C708" s="10" t="s">
        <v>1759</v>
      </c>
      <c r="D708" s="10" t="s">
        <v>1814</v>
      </c>
      <c r="E708" s="10" t="s">
        <v>2881</v>
      </c>
      <c r="F708" s="10" t="s">
        <v>2080</v>
      </c>
      <c r="G708" s="10"/>
    </row>
    <row r="709" spans="1:7" x14ac:dyDescent="0.3">
      <c r="A709" s="31" t="s">
        <v>1813</v>
      </c>
      <c r="B709" s="32">
        <v>12</v>
      </c>
      <c r="C709" s="10" t="s">
        <v>1759</v>
      </c>
      <c r="D709" s="10" t="s">
        <v>1814</v>
      </c>
      <c r="E709" s="10" t="s">
        <v>2882</v>
      </c>
      <c r="F709" s="10"/>
      <c r="G709" s="10"/>
    </row>
  </sheetData>
  <autoFilter ref="A1:G709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12" customWidth="1"/>
    <col min="3" max="3" width="18" customWidth="1"/>
    <col min="4" max="4" width="20" customWidth="1"/>
    <col min="5" max="5" width="60" customWidth="1"/>
  </cols>
  <sheetData>
    <row r="1" spans="1:5" x14ac:dyDescent="0.3">
      <c r="A1" s="33" t="s">
        <v>2883</v>
      </c>
      <c r="B1" s="33" t="s">
        <v>2884</v>
      </c>
      <c r="C1" s="33" t="s">
        <v>2885</v>
      </c>
      <c r="D1" s="33" t="s">
        <v>2886</v>
      </c>
      <c r="E1" s="33" t="s">
        <v>1823</v>
      </c>
    </row>
    <row r="2" spans="1:5" x14ac:dyDescent="0.3">
      <c r="A2" s="9" t="s">
        <v>2887</v>
      </c>
      <c r="B2" s="9" t="s">
        <v>2888</v>
      </c>
      <c r="C2" s="34">
        <v>9.8000000000000007</v>
      </c>
      <c r="D2" s="9" t="s">
        <v>2889</v>
      </c>
      <c r="E2" s="10" t="s">
        <v>2890</v>
      </c>
    </row>
    <row r="3" spans="1:5" x14ac:dyDescent="0.3">
      <c r="A3" s="9" t="s">
        <v>2891</v>
      </c>
      <c r="B3" s="9" t="s">
        <v>2892</v>
      </c>
      <c r="C3" s="35">
        <v>300000000</v>
      </c>
      <c r="D3" s="9" t="s">
        <v>2893</v>
      </c>
      <c r="E3" s="10"/>
    </row>
    <row r="4" spans="1:5" x14ac:dyDescent="0.3">
      <c r="A4" s="9" t="s">
        <v>2894</v>
      </c>
      <c r="B4" s="9" t="s">
        <v>2895</v>
      </c>
      <c r="C4" s="35">
        <v>1.5999999999999999E-19</v>
      </c>
      <c r="D4" s="9" t="s">
        <v>2344</v>
      </c>
      <c r="E4" s="10"/>
    </row>
    <row r="5" spans="1:5" x14ac:dyDescent="0.3">
      <c r="A5" s="9" t="s">
        <v>2896</v>
      </c>
      <c r="B5" s="9" t="s">
        <v>2897</v>
      </c>
      <c r="C5" s="35">
        <v>9000000000</v>
      </c>
      <c r="D5" s="9" t="s">
        <v>2898</v>
      </c>
      <c r="E5" s="10"/>
    </row>
    <row r="6" spans="1:5" x14ac:dyDescent="0.3">
      <c r="A6" s="9" t="s">
        <v>2899</v>
      </c>
      <c r="B6" s="9" t="s">
        <v>2900</v>
      </c>
      <c r="C6" s="35">
        <v>8.8500000000000005E-12</v>
      </c>
      <c r="D6" s="9" t="s">
        <v>2901</v>
      </c>
      <c r="E6" s="10"/>
    </row>
    <row r="7" spans="1:5" x14ac:dyDescent="0.3">
      <c r="A7" s="9" t="s">
        <v>2902</v>
      </c>
      <c r="B7" s="9" t="s">
        <v>2903</v>
      </c>
      <c r="C7" s="35">
        <v>1.2566370613999999E-6</v>
      </c>
      <c r="D7" s="9" t="s">
        <v>2904</v>
      </c>
      <c r="E7" s="10" t="s">
        <v>2905</v>
      </c>
    </row>
    <row r="8" spans="1:5" x14ac:dyDescent="0.3">
      <c r="A8" s="9" t="s">
        <v>2906</v>
      </c>
      <c r="B8" s="9" t="s">
        <v>2907</v>
      </c>
      <c r="C8" s="35">
        <v>6.67E-11</v>
      </c>
      <c r="D8" s="9" t="s">
        <v>2908</v>
      </c>
      <c r="E8" s="10"/>
    </row>
    <row r="9" spans="1:5" x14ac:dyDescent="0.3">
      <c r="A9" s="9" t="s">
        <v>2909</v>
      </c>
      <c r="B9" s="9" t="s">
        <v>2910</v>
      </c>
      <c r="C9" s="35">
        <v>8.31</v>
      </c>
      <c r="D9" s="9" t="s">
        <v>2911</v>
      </c>
      <c r="E9" s="10"/>
    </row>
    <row r="10" spans="1:5" x14ac:dyDescent="0.3">
      <c r="A10" s="9" t="s">
        <v>2912</v>
      </c>
      <c r="B10" s="9" t="s">
        <v>2913</v>
      </c>
      <c r="C10" s="35">
        <v>1.3800000000000001E-23</v>
      </c>
      <c r="D10" s="9" t="s">
        <v>2914</v>
      </c>
      <c r="E10" s="10"/>
    </row>
    <row r="11" spans="1:5" x14ac:dyDescent="0.3">
      <c r="A11" s="9" t="s">
        <v>2915</v>
      </c>
      <c r="B11" s="9" t="s">
        <v>2916</v>
      </c>
      <c r="C11" s="35">
        <v>6.02E+23</v>
      </c>
      <c r="D11" s="9" t="s">
        <v>2917</v>
      </c>
      <c r="E11" s="10"/>
    </row>
    <row r="12" spans="1:5" x14ac:dyDescent="0.3">
      <c r="A12" s="9" t="s">
        <v>2918</v>
      </c>
      <c r="B12" s="9" t="s">
        <v>2919</v>
      </c>
      <c r="C12" s="35">
        <v>6.6299999999999999E-34</v>
      </c>
      <c r="D12" s="9" t="s">
        <v>2920</v>
      </c>
      <c r="E12" s="10"/>
    </row>
    <row r="13" spans="1:5" x14ac:dyDescent="0.3">
      <c r="A13" s="9" t="s">
        <v>2921</v>
      </c>
      <c r="B13" s="9" t="s">
        <v>2922</v>
      </c>
      <c r="C13" s="36">
        <v>9.1100000000000003E-31</v>
      </c>
      <c r="D13" s="9" t="s">
        <v>2737</v>
      </c>
      <c r="E13" s="10"/>
    </row>
    <row r="14" spans="1:5" x14ac:dyDescent="0.3">
      <c r="A14" s="9" t="s">
        <v>2923</v>
      </c>
      <c r="B14" s="9" t="s">
        <v>2924</v>
      </c>
      <c r="C14" s="35">
        <v>4200</v>
      </c>
      <c r="D14" s="9" t="s">
        <v>2925</v>
      </c>
      <c r="E14" s="10"/>
    </row>
    <row r="15" spans="1:5" x14ac:dyDescent="0.3">
      <c r="A15" s="9" t="s">
        <v>2926</v>
      </c>
      <c r="B15" s="9" t="s">
        <v>2927</v>
      </c>
      <c r="C15" s="35">
        <v>334000</v>
      </c>
      <c r="D15" s="9" t="s">
        <v>2928</v>
      </c>
      <c r="E15" s="10"/>
    </row>
    <row r="16" spans="1:5" x14ac:dyDescent="0.3">
      <c r="A16" s="9" t="s">
        <v>2929</v>
      </c>
      <c r="B16" s="9" t="s">
        <v>2930</v>
      </c>
      <c r="C16" s="35">
        <v>2260000</v>
      </c>
      <c r="D16" s="9" t="s">
        <v>2928</v>
      </c>
      <c r="E16" s="10"/>
    </row>
    <row r="17" spans="1:5" x14ac:dyDescent="0.3">
      <c r="A17" s="9" t="s">
        <v>2931</v>
      </c>
      <c r="B17" s="9" t="s">
        <v>2932</v>
      </c>
      <c r="C17" s="35">
        <v>1000</v>
      </c>
      <c r="D17" s="9" t="s">
        <v>2933</v>
      </c>
      <c r="E17" s="10"/>
    </row>
    <row r="18" spans="1:5" x14ac:dyDescent="0.3">
      <c r="A18" s="9" t="s">
        <v>2934</v>
      </c>
      <c r="B18" s="9" t="s">
        <v>2935</v>
      </c>
      <c r="C18" s="35">
        <v>101300</v>
      </c>
      <c r="D18" s="9" t="s">
        <v>2255</v>
      </c>
      <c r="E18" s="10"/>
    </row>
    <row r="19" spans="1:5" x14ac:dyDescent="0.3">
      <c r="A19" s="9" t="s">
        <v>2936</v>
      </c>
      <c r="B19" s="9" t="s">
        <v>2937</v>
      </c>
      <c r="C19" s="35">
        <v>340</v>
      </c>
      <c r="D19" s="9" t="s">
        <v>2893</v>
      </c>
      <c r="E19" s="10" t="s">
        <v>2938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44" customWidth="1"/>
    <col min="3" max="3" width="12" customWidth="1"/>
    <col min="4" max="4" width="14" customWidth="1"/>
    <col min="5" max="7" width="11" customWidth="1"/>
    <col min="8" max="9" width="12" customWidth="1"/>
  </cols>
  <sheetData>
    <row r="1" spans="1:9" ht="17.399999999999999" x14ac:dyDescent="0.3">
      <c r="A1" s="37" t="s">
        <v>2939</v>
      </c>
    </row>
    <row r="3" spans="1:9" ht="26.4" x14ac:dyDescent="0.3">
      <c r="A3" s="6" t="s">
        <v>33</v>
      </c>
      <c r="B3" s="6" t="s">
        <v>36</v>
      </c>
      <c r="C3" s="6" t="s">
        <v>34</v>
      </c>
      <c r="D3" s="6" t="s">
        <v>35</v>
      </c>
      <c r="E3" s="6" t="s">
        <v>2940</v>
      </c>
      <c r="F3" s="6" t="s">
        <v>2941</v>
      </c>
      <c r="G3" s="6" t="s">
        <v>2942</v>
      </c>
      <c r="H3" s="6" t="s">
        <v>43</v>
      </c>
      <c r="I3" s="6" t="s">
        <v>2943</v>
      </c>
    </row>
    <row r="4" spans="1:9" x14ac:dyDescent="0.3">
      <c r="A4" s="8">
        <v>7</v>
      </c>
      <c r="B4" s="22" t="s">
        <v>56</v>
      </c>
      <c r="C4" s="9" t="s">
        <v>54</v>
      </c>
      <c r="D4" s="9" t="s">
        <v>55</v>
      </c>
      <c r="E4" s="9">
        <v>4</v>
      </c>
      <c r="F4" s="9">
        <v>17</v>
      </c>
      <c r="G4" s="9">
        <v>14</v>
      </c>
      <c r="H4" s="9">
        <v>43</v>
      </c>
      <c r="I4" s="9">
        <v>20</v>
      </c>
    </row>
    <row r="5" spans="1:9" x14ac:dyDescent="0.3">
      <c r="A5" s="8">
        <v>7</v>
      </c>
      <c r="B5" s="22" t="s">
        <v>176</v>
      </c>
      <c r="C5" s="9" t="s">
        <v>54</v>
      </c>
      <c r="D5" s="9" t="s">
        <v>175</v>
      </c>
      <c r="E5" s="9">
        <v>4</v>
      </c>
      <c r="F5" s="9">
        <v>21</v>
      </c>
      <c r="G5" s="9">
        <v>29</v>
      </c>
      <c r="H5" s="9">
        <v>52</v>
      </c>
      <c r="I5" s="9">
        <v>21</v>
      </c>
    </row>
    <row r="6" spans="1:9" x14ac:dyDescent="0.3">
      <c r="A6" s="8">
        <v>7</v>
      </c>
      <c r="B6" s="22" t="s">
        <v>319</v>
      </c>
      <c r="C6" s="9" t="s">
        <v>238</v>
      </c>
      <c r="D6" s="9" t="s">
        <v>318</v>
      </c>
      <c r="E6" s="9">
        <v>3</v>
      </c>
      <c r="F6" s="9">
        <v>8</v>
      </c>
      <c r="G6" s="9">
        <v>19</v>
      </c>
      <c r="H6" s="9">
        <v>25</v>
      </c>
      <c r="I6" s="9">
        <v>10</v>
      </c>
    </row>
    <row r="7" spans="1:9" x14ac:dyDescent="0.3">
      <c r="A7" s="12">
        <v>8</v>
      </c>
      <c r="B7" s="24" t="s">
        <v>382</v>
      </c>
      <c r="C7" s="9" t="s">
        <v>54</v>
      </c>
      <c r="D7" s="9" t="s">
        <v>381</v>
      </c>
      <c r="E7" s="9">
        <v>8</v>
      </c>
      <c r="F7" s="9">
        <v>25</v>
      </c>
      <c r="G7" s="9">
        <v>63</v>
      </c>
      <c r="H7" s="9">
        <v>83</v>
      </c>
      <c r="I7" s="9">
        <v>38</v>
      </c>
    </row>
    <row r="8" spans="1:9" x14ac:dyDescent="0.3">
      <c r="A8" s="12">
        <v>8</v>
      </c>
      <c r="B8" s="24" t="s">
        <v>566</v>
      </c>
      <c r="C8" s="9" t="s">
        <v>238</v>
      </c>
      <c r="D8" s="9" t="s">
        <v>565</v>
      </c>
      <c r="E8" s="9">
        <v>6</v>
      </c>
      <c r="F8" s="9">
        <v>24</v>
      </c>
      <c r="G8" s="9">
        <v>20</v>
      </c>
      <c r="H8" s="9">
        <v>41</v>
      </c>
      <c r="I8" s="9">
        <v>9</v>
      </c>
    </row>
    <row r="9" spans="1:9" x14ac:dyDescent="0.3">
      <c r="A9" s="14">
        <v>9</v>
      </c>
      <c r="B9" s="26" t="s">
        <v>690</v>
      </c>
      <c r="C9" s="9" t="s">
        <v>54</v>
      </c>
      <c r="D9" s="9" t="s">
        <v>55</v>
      </c>
      <c r="E9" s="9">
        <v>7</v>
      </c>
      <c r="F9" s="9">
        <v>7</v>
      </c>
      <c r="G9" s="9">
        <v>14</v>
      </c>
      <c r="H9" s="9">
        <v>25</v>
      </c>
      <c r="I9" s="9">
        <v>5</v>
      </c>
    </row>
    <row r="10" spans="1:9" x14ac:dyDescent="0.3">
      <c r="A10" s="14">
        <v>9</v>
      </c>
      <c r="B10" s="26" t="s">
        <v>734</v>
      </c>
      <c r="C10" s="9" t="s">
        <v>54</v>
      </c>
      <c r="D10" s="9" t="s">
        <v>381</v>
      </c>
      <c r="E10" s="9">
        <v>3</v>
      </c>
      <c r="F10" s="9">
        <v>8</v>
      </c>
      <c r="G10" s="9">
        <v>27</v>
      </c>
      <c r="H10" s="9">
        <v>26</v>
      </c>
      <c r="I10" s="9">
        <v>5</v>
      </c>
    </row>
    <row r="11" spans="1:9" x14ac:dyDescent="0.3">
      <c r="A11" s="14">
        <v>9</v>
      </c>
      <c r="B11" s="26" t="s">
        <v>788</v>
      </c>
      <c r="C11" s="9" t="s">
        <v>54</v>
      </c>
      <c r="D11" s="9" t="s">
        <v>175</v>
      </c>
      <c r="E11" s="9">
        <v>2</v>
      </c>
      <c r="F11" s="9">
        <v>8</v>
      </c>
      <c r="G11" s="9">
        <v>13</v>
      </c>
      <c r="H11" s="9">
        <v>19</v>
      </c>
      <c r="I11" s="9">
        <v>4</v>
      </c>
    </row>
    <row r="12" spans="1:9" x14ac:dyDescent="0.3">
      <c r="A12" s="14">
        <v>9</v>
      </c>
      <c r="B12" s="26" t="s">
        <v>831</v>
      </c>
      <c r="C12" s="9" t="s">
        <v>238</v>
      </c>
      <c r="D12" s="9" t="s">
        <v>239</v>
      </c>
      <c r="E12" s="9">
        <v>2</v>
      </c>
      <c r="F12" s="9">
        <v>7</v>
      </c>
      <c r="G12" s="9">
        <v>3</v>
      </c>
      <c r="H12" s="9">
        <v>20</v>
      </c>
      <c r="I12" s="9">
        <v>6</v>
      </c>
    </row>
    <row r="13" spans="1:9" x14ac:dyDescent="0.3">
      <c r="A13" s="14">
        <v>9</v>
      </c>
      <c r="B13" s="26" t="s">
        <v>881</v>
      </c>
      <c r="C13" s="9" t="s">
        <v>238</v>
      </c>
      <c r="D13" s="9" t="s">
        <v>565</v>
      </c>
      <c r="E13" s="9">
        <v>5</v>
      </c>
      <c r="F13" s="9">
        <v>21</v>
      </c>
      <c r="G13" s="9">
        <v>27</v>
      </c>
      <c r="H13" s="9">
        <v>42</v>
      </c>
      <c r="I13" s="9">
        <v>15</v>
      </c>
    </row>
    <row r="14" spans="1:9" x14ac:dyDescent="0.3">
      <c r="A14" s="16">
        <v>10</v>
      </c>
      <c r="B14" s="28" t="s">
        <v>1002</v>
      </c>
      <c r="C14" s="9" t="s">
        <v>54</v>
      </c>
      <c r="D14" s="9" t="s">
        <v>381</v>
      </c>
      <c r="E14" s="9">
        <v>4</v>
      </c>
      <c r="F14" s="9">
        <v>17</v>
      </c>
      <c r="G14" s="9">
        <v>58</v>
      </c>
      <c r="H14" s="9">
        <v>61</v>
      </c>
      <c r="I14" s="9">
        <v>23</v>
      </c>
    </row>
    <row r="15" spans="1:9" x14ac:dyDescent="0.3">
      <c r="A15" s="16">
        <v>10</v>
      </c>
      <c r="B15" s="28" t="s">
        <v>1095</v>
      </c>
      <c r="C15" s="9" t="s">
        <v>54</v>
      </c>
      <c r="D15" s="9" t="s">
        <v>175</v>
      </c>
      <c r="E15" s="9">
        <v>2</v>
      </c>
      <c r="F15" s="9">
        <v>4</v>
      </c>
      <c r="G15" s="9">
        <v>13</v>
      </c>
      <c r="H15" s="9">
        <v>16</v>
      </c>
      <c r="I15" s="9">
        <v>7</v>
      </c>
    </row>
    <row r="16" spans="1:9" x14ac:dyDescent="0.3">
      <c r="A16" s="16">
        <v>10</v>
      </c>
      <c r="B16" s="28" t="s">
        <v>1122</v>
      </c>
      <c r="C16" s="9" t="s">
        <v>238</v>
      </c>
      <c r="D16" s="9" t="s">
        <v>565</v>
      </c>
      <c r="E16" s="9">
        <v>4</v>
      </c>
      <c r="F16" s="9">
        <v>23</v>
      </c>
      <c r="G16" s="9">
        <v>38</v>
      </c>
      <c r="H16" s="9">
        <v>50</v>
      </c>
      <c r="I16" s="9">
        <v>13</v>
      </c>
    </row>
    <row r="17" spans="1:9" x14ac:dyDescent="0.3">
      <c r="A17" s="16">
        <v>10</v>
      </c>
      <c r="B17" s="28" t="s">
        <v>1250</v>
      </c>
      <c r="C17" s="9" t="s">
        <v>238</v>
      </c>
      <c r="D17" s="9" t="s">
        <v>318</v>
      </c>
      <c r="E17" s="9">
        <v>2</v>
      </c>
      <c r="F17" s="9">
        <v>5</v>
      </c>
      <c r="G17" s="9">
        <v>14</v>
      </c>
      <c r="H17" s="9">
        <v>17</v>
      </c>
      <c r="I17" s="9">
        <v>4</v>
      </c>
    </row>
    <row r="18" spans="1:9" x14ac:dyDescent="0.3">
      <c r="A18" s="18">
        <v>11</v>
      </c>
      <c r="B18" s="30" t="s">
        <v>1278</v>
      </c>
      <c r="C18" s="9" t="s">
        <v>54</v>
      </c>
      <c r="D18" s="9" t="s">
        <v>55</v>
      </c>
      <c r="E18" s="9">
        <v>2</v>
      </c>
      <c r="F18" s="9">
        <v>2</v>
      </c>
      <c r="G18" s="9">
        <v>8</v>
      </c>
      <c r="H18" s="9">
        <v>11</v>
      </c>
      <c r="I18" s="9">
        <v>3</v>
      </c>
    </row>
    <row r="19" spans="1:9" x14ac:dyDescent="0.3">
      <c r="A19" s="18">
        <v>11</v>
      </c>
      <c r="B19" s="30" t="s">
        <v>1293</v>
      </c>
      <c r="C19" s="9" t="s">
        <v>54</v>
      </c>
      <c r="D19" s="9" t="s">
        <v>55</v>
      </c>
      <c r="E19" s="9">
        <v>6</v>
      </c>
      <c r="F19" s="9">
        <v>6</v>
      </c>
      <c r="G19" s="9">
        <v>28</v>
      </c>
      <c r="H19" s="9">
        <v>28</v>
      </c>
      <c r="I19" s="9">
        <v>10</v>
      </c>
    </row>
    <row r="20" spans="1:9" x14ac:dyDescent="0.3">
      <c r="A20" s="18">
        <v>11</v>
      </c>
      <c r="B20" s="30" t="s">
        <v>1334</v>
      </c>
      <c r="C20" s="9" t="s">
        <v>54</v>
      </c>
      <c r="D20" s="9" t="s">
        <v>381</v>
      </c>
      <c r="E20" s="9">
        <v>2</v>
      </c>
      <c r="F20" s="9">
        <v>7</v>
      </c>
      <c r="G20" s="9">
        <v>33</v>
      </c>
      <c r="H20" s="9">
        <v>30</v>
      </c>
      <c r="I20" s="9">
        <v>9</v>
      </c>
    </row>
    <row r="21" spans="1:9" x14ac:dyDescent="0.3">
      <c r="A21" s="18">
        <v>11</v>
      </c>
      <c r="B21" s="30" t="s">
        <v>1384</v>
      </c>
      <c r="C21" s="9" t="s">
        <v>54</v>
      </c>
      <c r="D21" s="9" t="s">
        <v>175</v>
      </c>
      <c r="E21" s="9">
        <v>4</v>
      </c>
      <c r="F21" s="9">
        <v>4</v>
      </c>
      <c r="G21" s="9">
        <v>21</v>
      </c>
      <c r="H21" s="9">
        <v>21</v>
      </c>
      <c r="I21" s="9">
        <v>6</v>
      </c>
    </row>
    <row r="22" spans="1:9" x14ac:dyDescent="0.3">
      <c r="A22" s="18">
        <v>11</v>
      </c>
      <c r="B22" s="30" t="s">
        <v>1413</v>
      </c>
      <c r="C22" s="9" t="s">
        <v>238</v>
      </c>
      <c r="D22" s="9" t="s">
        <v>239</v>
      </c>
      <c r="E22" s="9">
        <v>8</v>
      </c>
      <c r="F22" s="9">
        <v>8</v>
      </c>
      <c r="G22" s="9">
        <v>38</v>
      </c>
      <c r="H22" s="9">
        <v>36</v>
      </c>
      <c r="I22" s="9">
        <v>12</v>
      </c>
    </row>
    <row r="23" spans="1:9" x14ac:dyDescent="0.3">
      <c r="A23" s="18">
        <v>11</v>
      </c>
      <c r="B23" s="30" t="s">
        <v>1468</v>
      </c>
      <c r="C23" s="9" t="s">
        <v>238</v>
      </c>
      <c r="D23" s="9" t="s">
        <v>318</v>
      </c>
      <c r="E23" s="9">
        <v>4</v>
      </c>
      <c r="F23" s="9">
        <v>4</v>
      </c>
      <c r="G23" s="9">
        <v>18</v>
      </c>
      <c r="H23" s="9">
        <v>20</v>
      </c>
      <c r="I23" s="9">
        <v>9</v>
      </c>
    </row>
    <row r="24" spans="1:9" x14ac:dyDescent="0.3">
      <c r="A24" s="20">
        <v>12</v>
      </c>
      <c r="B24" s="32" t="s">
        <v>1498</v>
      </c>
      <c r="C24" s="9" t="s">
        <v>54</v>
      </c>
      <c r="D24" s="9" t="s">
        <v>55</v>
      </c>
      <c r="E24" s="9">
        <v>2</v>
      </c>
      <c r="F24" s="9">
        <v>2</v>
      </c>
      <c r="G24" s="9">
        <v>18</v>
      </c>
      <c r="H24" s="9">
        <v>13</v>
      </c>
      <c r="I24" s="9">
        <v>6</v>
      </c>
    </row>
    <row r="25" spans="1:9" x14ac:dyDescent="0.3">
      <c r="A25" s="20">
        <v>12</v>
      </c>
      <c r="B25" s="32" t="s">
        <v>1514</v>
      </c>
      <c r="C25" s="9" t="s">
        <v>54</v>
      </c>
      <c r="D25" s="9" t="s">
        <v>55</v>
      </c>
      <c r="E25" s="9">
        <v>5</v>
      </c>
      <c r="F25" s="9">
        <v>9</v>
      </c>
      <c r="G25" s="9">
        <v>31</v>
      </c>
      <c r="H25" s="9">
        <v>33</v>
      </c>
      <c r="I25" s="9">
        <v>13</v>
      </c>
    </row>
    <row r="26" spans="1:9" x14ac:dyDescent="0.3">
      <c r="A26" s="20">
        <v>12</v>
      </c>
      <c r="B26" s="32" t="s">
        <v>1571</v>
      </c>
      <c r="C26" s="9" t="s">
        <v>54</v>
      </c>
      <c r="D26" s="9" t="s">
        <v>175</v>
      </c>
      <c r="E26" s="9">
        <v>4</v>
      </c>
      <c r="F26" s="9">
        <v>4</v>
      </c>
      <c r="G26" s="9">
        <v>18</v>
      </c>
      <c r="H26" s="9">
        <v>17</v>
      </c>
      <c r="I26" s="9">
        <v>5</v>
      </c>
    </row>
    <row r="27" spans="1:9" x14ac:dyDescent="0.3">
      <c r="A27" s="20">
        <v>12</v>
      </c>
      <c r="B27" s="32" t="s">
        <v>1597</v>
      </c>
      <c r="C27" s="9" t="s">
        <v>54</v>
      </c>
      <c r="D27" s="9" t="s">
        <v>175</v>
      </c>
      <c r="E27" s="9">
        <v>5</v>
      </c>
      <c r="F27" s="9">
        <v>5</v>
      </c>
      <c r="G27" s="9">
        <v>17</v>
      </c>
      <c r="H27" s="9">
        <v>19</v>
      </c>
      <c r="I27" s="9">
        <v>7</v>
      </c>
    </row>
    <row r="28" spans="1:9" x14ac:dyDescent="0.3">
      <c r="A28" s="20">
        <v>12</v>
      </c>
      <c r="B28" s="32" t="s">
        <v>1629</v>
      </c>
      <c r="C28" s="9" t="s">
        <v>54</v>
      </c>
      <c r="D28" s="9" t="s">
        <v>175</v>
      </c>
      <c r="E28" s="9">
        <v>7</v>
      </c>
      <c r="F28" s="9">
        <v>7</v>
      </c>
      <c r="G28" s="9">
        <v>21</v>
      </c>
      <c r="H28" s="9">
        <v>28</v>
      </c>
      <c r="I28" s="9">
        <v>5</v>
      </c>
    </row>
    <row r="29" spans="1:9" x14ac:dyDescent="0.3">
      <c r="A29" s="20">
        <v>12</v>
      </c>
      <c r="B29" s="32" t="s">
        <v>1669</v>
      </c>
      <c r="C29" s="9" t="s">
        <v>238</v>
      </c>
      <c r="D29" s="9" t="s">
        <v>239</v>
      </c>
      <c r="E29" s="9">
        <v>8</v>
      </c>
      <c r="F29" s="9">
        <v>8</v>
      </c>
      <c r="G29" s="9">
        <v>35</v>
      </c>
      <c r="H29" s="9">
        <v>33</v>
      </c>
      <c r="I29" s="9">
        <v>6</v>
      </c>
    </row>
    <row r="30" spans="1:9" x14ac:dyDescent="0.3">
      <c r="A30" s="20">
        <v>12</v>
      </c>
      <c r="B30" s="32" t="s">
        <v>1721</v>
      </c>
      <c r="C30" s="9" t="s">
        <v>238</v>
      </c>
      <c r="D30" s="9" t="s">
        <v>565</v>
      </c>
      <c r="E30" s="9">
        <v>6</v>
      </c>
      <c r="F30" s="9">
        <v>6</v>
      </c>
      <c r="G30" s="9">
        <v>34</v>
      </c>
      <c r="H30" s="9">
        <v>27</v>
      </c>
      <c r="I30" s="9">
        <v>4</v>
      </c>
    </row>
    <row r="31" spans="1:9" x14ac:dyDescent="0.3">
      <c r="A31" s="20">
        <v>12</v>
      </c>
      <c r="B31" s="32" t="s">
        <v>1759</v>
      </c>
      <c r="C31" s="9" t="s">
        <v>238</v>
      </c>
      <c r="D31" s="9" t="s">
        <v>318</v>
      </c>
      <c r="E31" s="9">
        <v>3</v>
      </c>
      <c r="F31" s="9">
        <v>10</v>
      </c>
      <c r="G31" s="9">
        <v>36</v>
      </c>
      <c r="H31" s="9">
        <v>37</v>
      </c>
      <c r="I31" s="9">
        <v>9</v>
      </c>
    </row>
    <row r="32" spans="1:9" x14ac:dyDescent="0.3">
      <c r="A32" s="5" t="s">
        <v>2944</v>
      </c>
      <c r="E32" s="38">
        <f>SUM(E4:E31)</f>
        <v>122</v>
      </c>
      <c r="F32" s="38">
        <f>SUM(F4:F31)</f>
        <v>277</v>
      </c>
      <c r="G32" s="38">
        <f>SUM(G4:G31)</f>
        <v>708</v>
      </c>
      <c r="H32" s="38">
        <f>SUM(H4:H31)</f>
        <v>873</v>
      </c>
      <c r="I32" s="38">
        <f>SUM(I4:I31)</f>
        <v>284</v>
      </c>
    </row>
    <row r="34" spans="1:7" ht="17.399999999999999" x14ac:dyDescent="0.3">
      <c r="A34" s="37" t="s">
        <v>2945</v>
      </c>
    </row>
    <row r="35" spans="1:7" ht="26.4" x14ac:dyDescent="0.3">
      <c r="A35" s="6" t="s">
        <v>33</v>
      </c>
      <c r="B35" s="6" t="s">
        <v>2946</v>
      </c>
      <c r="C35" s="6" t="s">
        <v>2947</v>
      </c>
      <c r="D35" s="6" t="s">
        <v>2941</v>
      </c>
      <c r="E35" s="6" t="s">
        <v>2942</v>
      </c>
      <c r="F35" s="6" t="s">
        <v>43</v>
      </c>
      <c r="G35" s="6" t="s">
        <v>2943</v>
      </c>
    </row>
    <row r="36" spans="1:7" x14ac:dyDescent="0.3">
      <c r="A36" s="39">
        <v>7</v>
      </c>
      <c r="B36" s="39">
        <v>2</v>
      </c>
      <c r="C36" s="40">
        <v>3</v>
      </c>
      <c r="D36" s="40">
        <v>46</v>
      </c>
      <c r="E36" s="40">
        <v>62</v>
      </c>
      <c r="F36" s="40">
        <v>120</v>
      </c>
      <c r="G36" s="40">
        <v>51</v>
      </c>
    </row>
    <row r="37" spans="1:7" x14ac:dyDescent="0.3">
      <c r="A37" s="41">
        <v>8</v>
      </c>
      <c r="B37" s="41">
        <v>2</v>
      </c>
      <c r="C37" s="40">
        <v>2</v>
      </c>
      <c r="D37" s="40">
        <v>49</v>
      </c>
      <c r="E37" s="40">
        <v>83</v>
      </c>
      <c r="F37" s="40">
        <v>124</v>
      </c>
      <c r="G37" s="40">
        <v>47</v>
      </c>
    </row>
    <row r="38" spans="1:7" x14ac:dyDescent="0.3">
      <c r="A38" s="42">
        <v>9</v>
      </c>
      <c r="B38" s="42">
        <v>2</v>
      </c>
      <c r="C38" s="40">
        <v>5</v>
      </c>
      <c r="D38" s="40">
        <v>51</v>
      </c>
      <c r="E38" s="40">
        <v>84</v>
      </c>
      <c r="F38" s="40">
        <v>132</v>
      </c>
      <c r="G38" s="40">
        <v>35</v>
      </c>
    </row>
    <row r="39" spans="1:7" x14ac:dyDescent="0.3">
      <c r="A39" s="43">
        <v>10</v>
      </c>
      <c r="B39" s="43">
        <v>2</v>
      </c>
      <c r="C39" s="40">
        <v>4</v>
      </c>
      <c r="D39" s="40">
        <v>49</v>
      </c>
      <c r="E39" s="40">
        <v>123</v>
      </c>
      <c r="F39" s="40">
        <v>144</v>
      </c>
      <c r="G39" s="40">
        <v>47</v>
      </c>
    </row>
    <row r="40" spans="1:7" x14ac:dyDescent="0.3">
      <c r="A40" s="44">
        <v>11</v>
      </c>
      <c r="B40" s="44">
        <v>2</v>
      </c>
      <c r="C40" s="40">
        <v>6</v>
      </c>
      <c r="D40" s="40">
        <v>31</v>
      </c>
      <c r="E40" s="40">
        <v>146</v>
      </c>
      <c r="F40" s="40">
        <v>146</v>
      </c>
      <c r="G40" s="40">
        <v>49</v>
      </c>
    </row>
    <row r="41" spans="1:7" x14ac:dyDescent="0.3">
      <c r="A41" s="45">
        <v>12</v>
      </c>
      <c r="B41" s="45">
        <v>3</v>
      </c>
      <c r="C41" s="40">
        <v>8</v>
      </c>
      <c r="D41" s="40">
        <v>51</v>
      </c>
      <c r="E41" s="40">
        <v>210</v>
      </c>
      <c r="F41" s="40">
        <v>207</v>
      </c>
      <c r="G41" s="40">
        <v>55</v>
      </c>
    </row>
    <row r="42" spans="1:7" x14ac:dyDescent="0.3">
      <c r="A42" s="5" t="s">
        <v>2944</v>
      </c>
      <c r="C42" s="38">
        <f>SUM(C36:C41)</f>
        <v>28</v>
      </c>
      <c r="D42" s="38">
        <f>SUM(D36:D41)</f>
        <v>277</v>
      </c>
      <c r="E42" s="38">
        <f>SUM(E36:E41)</f>
        <v>708</v>
      </c>
      <c r="F42" s="38">
        <f>SUM(F36:F41)</f>
        <v>873</v>
      </c>
      <c r="G42" s="38">
        <f>SUM(G36:G41)</f>
        <v>284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All Topics</vt:lpstr>
      <vt:lpstr>G7</vt:lpstr>
      <vt:lpstr>G8</vt:lpstr>
      <vt:lpstr>G9</vt:lpstr>
      <vt:lpstr>G10</vt:lpstr>
      <vt:lpstr>G11</vt:lpstr>
      <vt:lpstr>G12</vt:lpstr>
      <vt:lpstr>Formula Index</vt:lpstr>
      <vt:lpstr>Constants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Moeun Sokmean</cp:lastModifiedBy>
  <cp:revision>0</cp:revision>
  <dcterms:created xsi:type="dcterms:W3CDTF">2026-08-24T13:45:48Z</dcterms:created>
  <dcterms:modified xsi:type="dcterms:W3CDTF">2026-08-25T07:41:34Z</dcterms:modified>
  <dc:language>en-US</dc:language>
</cp:coreProperties>
</file>